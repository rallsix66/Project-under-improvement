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3"/>
  </bookViews>
  <sheets>
    <sheet name="MSDS基本资料" sheetId="1" r:id="rId1"/>
    <sheet name="第一款成分" sheetId="2" r:id="rId2"/>
    <sheet name="第二款成分" sheetId="3" r:id="rId3"/>
    <sheet name="第三款成分" sheetId="4" r:id="rId4"/>
    <sheet name="第四款成分" sheetId="5" r:id="rId5"/>
    <sheet name="第五款成分" sheetId="6" r:id="rId6"/>
    <sheet name="第六款成分" sheetId="7" r:id="rId7"/>
    <sheet name="第七款成分" sheetId="8" r:id="rId8"/>
    <sheet name="第八款成分" sheetId="9" r:id="rId9"/>
    <sheet name="第九款成分" sheetId="10" r:id="rId10"/>
    <sheet name="第十款成分" sheetId="11" r:id="rId11"/>
    <sheet name="第十一款成分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<sst xmlns="http://schemas.openxmlformats.org/spreadsheetml/2006/main" count="1463" uniqueCount="601">
  <si>
    <t>序号</t>
  </si>
  <si>
    <t>MSDS 出报告信息确认
（如果双语言就是填中文和英文资料）</t>
  </si>
  <si>
    <t>委托单位名称中文与英文</t>
  </si>
  <si>
    <t>厦门冰丽研化妆品有限公司 / Xiamen Bingliyan Cosmetics Co., Ltd.</t>
  </si>
  <si>
    <t>委托单位地址中文与英文</t>
  </si>
  <si>
    <t>中国厦门市思明区莲前西路2号2503室A区 / Room 2503A, Block A, No. 2 Lianqian West Road, Siming District, Xiamen City, China</t>
  </si>
  <si>
    <t>生产单位名称中文与英文</t>
  </si>
  <si>
    <t>广州肌因未来国际生物科技有限公司 / Guangzhou Jiyin Future International Biotechnology Co., Ltd.</t>
  </si>
  <si>
    <t>生产单位地址中文与英文</t>
  </si>
  <si>
    <t>中国广州市白云区钟落潭镇红旗路49号一层101房、二层 / Room 101, first floor and second floor, No. 49, Hongqi Road, Zhongluotan Town, Baiyun District, Guangzhou City, China</t>
  </si>
  <si>
    <t>联系人</t>
  </si>
  <si>
    <t>张煜</t>
  </si>
  <si>
    <t>电话</t>
  </si>
  <si>
    <t>13275024852</t>
  </si>
  <si>
    <t>紧急联系固话</t>
  </si>
  <si>
    <t>邮箱</t>
  </si>
  <si>
    <t>Richard@icelerskin.com</t>
  </si>
  <si>
    <t>报告标准（联合国，欧盟，美国，中国）
（版本标准，进单后不可变更，需提前确认好）</t>
  </si>
  <si>
    <t>语言（单语言还是双语言）</t>
  </si>
  <si>
    <t>英文</t>
  </si>
  <si>
    <t>第一页</t>
  </si>
  <si>
    <t>第二页</t>
  </si>
  <si>
    <t>第三页</t>
  </si>
  <si>
    <t>第四页</t>
  </si>
  <si>
    <t>第五页</t>
  </si>
  <si>
    <t>第六页</t>
  </si>
  <si>
    <t>第七页</t>
  </si>
  <si>
    <t>第八页</t>
  </si>
  <si>
    <t>第九页</t>
  </si>
  <si>
    <t>第十页</t>
  </si>
  <si>
    <t>第十一页</t>
  </si>
  <si>
    <t>产品名称中文/英文</t>
  </si>
  <si>
    <t>ICE LERSKIN 7% 果酸乙醇爽肤水 / ICE LERSKIN 7% GLYCOLIC ACID TONER</t>
  </si>
  <si>
    <t>ICE LERSKIN 洁面慕斯 / ICE LERSKIN ACNE REMOVING AND CLEANSING MOUSSE</t>
  </si>
  <si>
    <t>ICE LERSKIN 双色泥膜 / ICE LERSKIN DUAL-COLOR CLEANSING CLAY MASK</t>
  </si>
  <si>
    <t>ICE LERSKIN 海茴香焕肤水 / ICE LERSKIN SEA FENNEL YOUTH ACTIVATING LOTION TONER</t>
  </si>
  <si>
    <t>ICE LERSKIN 防晒乳 / ICE LERSKIN UV PLUS AQUA SHAKE DAY SCREEN</t>
  </si>
  <si>
    <t>ICE LERSKIN 日夜爆痘急救笔 / ICE LERSKIN-DAY &amp; NIGHT BLEMISH RESCUE SERUM (DAY)</t>
  </si>
  <si>
    <t>ICE LERSKIN 三酸净化喷雾 / ICE LERSKIN-TRIPLE ACID CLARIFYING TREATMENT SPRAY</t>
  </si>
  <si>
    <t>ICE LERSKIN 护发精油 (无花果)-粉色 / ICE LERSKIN LITHE LUMINOUS REPAIR HAIR ELIXIR - FIG</t>
  </si>
  <si>
    <t>ICE LERSKIN 护发精油(茉莉)-绿色 / ICE LERSKIN LITHE LUMINOUS REPAIR HAIR ELIXIR - JASMINE</t>
  </si>
  <si>
    <t>ICE LERSKIN 护发精油 (薰衣草)-紫色 / ICE LERSKIN LITHE LUMINOUS REPAIR HAIR ELIXIR - LAVENDER</t>
  </si>
  <si>
    <t>ICE LERSKIN 护发精油 (桂花)-橙色 / ICE LERSKIN LITHE LUMINOUS REPAIR HAIR ELIXIR - OSMANTHUS</t>
  </si>
  <si>
    <t>外观性状</t>
  </si>
  <si>
    <t>Transparent Liquid</t>
  </si>
  <si>
    <t>Transparent Foam</t>
  </si>
  <si>
    <t>White &amp; Black Paste</t>
  </si>
  <si>
    <t>White Emulsion</t>
  </si>
  <si>
    <t>Light Orange Liquid</t>
  </si>
  <si>
    <t>Transparent Spray</t>
  </si>
  <si>
    <t>气味</t>
  </si>
  <si>
    <t>Slight Odor</t>
  </si>
  <si>
    <t>Odorless</t>
  </si>
  <si>
    <t>Characteristic Odor</t>
  </si>
  <si>
    <t>PH值</t>
  </si>
  <si>
    <t>闪点（闭杯）</t>
  </si>
  <si>
    <t>溶解性</t>
  </si>
  <si>
    <t>产品配方表（货物成分，CAS号，及百分比含量）
（配方需提前好，进单后不可变更）</t>
  </si>
  <si>
    <t>Ice Lerskin 7% Glycolic Acid Toner</t>
  </si>
  <si>
    <t>No</t>
  </si>
  <si>
    <t>标准 standard</t>
  </si>
  <si>
    <t>成分名称 ingredients</t>
  </si>
  <si>
    <t>Wt%</t>
  </si>
  <si>
    <t>Mixure ratio</t>
  </si>
  <si>
    <t>Actual Wt (%)</t>
  </si>
  <si>
    <t>功能 Function</t>
  </si>
  <si>
    <t>CAS No</t>
  </si>
  <si>
    <t>水</t>
  </si>
  <si>
    <t>AQUA</t>
  </si>
  <si>
    <t>Solvent</t>
  </si>
  <si>
    <t>7732-18-5</t>
  </si>
  <si>
    <t>羟基乙酸</t>
  </si>
  <si>
    <t>GLYCOLIC ACID</t>
  </si>
  <si>
    <t>Skin conditioner</t>
  </si>
  <si>
    <t>79-14-1</t>
  </si>
  <si>
    <t>突厥蔷薇（ROSA DAMASCENA）花水</t>
  </si>
  <si>
    <t>ROSA DAMASCENA FLOWER WATER</t>
  </si>
  <si>
    <t>90106-38-0</t>
  </si>
  <si>
    <t>矢车菊（CENTAUREA CYANUS）花水</t>
  </si>
  <si>
    <t>CENTAUREA CYANUS FLOWER WATER</t>
  </si>
  <si>
    <t>84012-18-0</t>
  </si>
  <si>
    <t>库拉索芦荟（ALOE BARBADENSIS）叶水</t>
  </si>
  <si>
    <t>ALOE BARBADENSIS LEAF WATER</t>
  </si>
  <si>
    <t>94349-62-9</t>
  </si>
  <si>
    <t>1,3-丙二醇</t>
  </si>
  <si>
    <t>PROPANEDIOL</t>
  </si>
  <si>
    <t>Moisturizer</t>
  </si>
  <si>
    <t>504-63-2</t>
  </si>
  <si>
    <t>甘油</t>
  </si>
  <si>
    <t>GLYCERIN</t>
  </si>
  <si>
    <t>56-81-5</t>
  </si>
  <si>
    <t>三乙醇胺</t>
  </si>
  <si>
    <t>TRIETHANOLAMINE</t>
  </si>
  <si>
    <t>pH adjuster</t>
  </si>
  <si>
    <t>102-71-6</t>
  </si>
  <si>
    <t>氨甲基丙醇</t>
  </si>
  <si>
    <t>AMINOMETHYL PROPANOL</t>
  </si>
  <si>
    <t>124-68-5</t>
  </si>
  <si>
    <t>人参（PANAX GINSENG）根提取物</t>
  </si>
  <si>
    <t>PANAX GINSENG ROOT EXTRACT</t>
  </si>
  <si>
    <t>50647-08-0</t>
  </si>
  <si>
    <t>假八角（TASMANNIA LANCEOLATA）叶提取物</t>
  </si>
  <si>
    <t>TASMANNIA LANCEOLATA LEAF EXTRACT</t>
  </si>
  <si>
    <t>183815-52-3</t>
  </si>
  <si>
    <t>天冬氨酸</t>
  </si>
  <si>
    <t>ASPARTIC ACID</t>
  </si>
  <si>
    <t>56-84-8</t>
  </si>
  <si>
    <t>丙氨酸</t>
  </si>
  <si>
    <t>ALANINE</t>
  </si>
  <si>
    <t>56-41-7</t>
  </si>
  <si>
    <t>丝氨酸</t>
  </si>
  <si>
    <t>SERINE</t>
  </si>
  <si>
    <t>56-45-1</t>
  </si>
  <si>
    <t>缬氨酸</t>
  </si>
  <si>
    <t>VALINE</t>
  </si>
  <si>
    <t>72-18-4</t>
  </si>
  <si>
    <t>异亮氨酸</t>
  </si>
  <si>
    <t>ISOLEUCINE</t>
  </si>
  <si>
    <t>73-32-5</t>
  </si>
  <si>
    <t>脯氨酸</t>
  </si>
  <si>
    <t>PROLINE</t>
  </si>
  <si>
    <t>147-85-3</t>
  </si>
  <si>
    <t>苏氨酸</t>
  </si>
  <si>
    <t>THREONINE</t>
  </si>
  <si>
    <t>72-19-5</t>
  </si>
  <si>
    <t>组氨酸</t>
  </si>
  <si>
    <t>HISTIDINE</t>
  </si>
  <si>
    <t>71-00-1</t>
  </si>
  <si>
    <t>苯丙氨酸</t>
  </si>
  <si>
    <t>PHENYLALANINE</t>
  </si>
  <si>
    <t>63-91-2</t>
  </si>
  <si>
    <t>谷氨酸</t>
  </si>
  <si>
    <t>GLUTAMIC ACID</t>
  </si>
  <si>
    <t>56-86-0</t>
  </si>
  <si>
    <t>精氨酸</t>
  </si>
  <si>
    <t>ARGININE</t>
  </si>
  <si>
    <t>74-79-3</t>
  </si>
  <si>
    <t>吡咯烷酮羧酸</t>
  </si>
  <si>
    <t>PCA</t>
  </si>
  <si>
    <t>98-79-3</t>
  </si>
  <si>
    <t>PCA 钠</t>
  </si>
  <si>
    <t>SODIUM PCA</t>
  </si>
  <si>
    <t>28874-51-3</t>
  </si>
  <si>
    <t>乳酸钠</t>
  </si>
  <si>
    <t>SODIUM LACTATE</t>
  </si>
  <si>
    <t>72-17-3</t>
  </si>
  <si>
    <t>果糖</t>
  </si>
  <si>
    <t>FRUCTOSE</t>
  </si>
  <si>
    <t>57-48-7</t>
  </si>
  <si>
    <t>葡萄糖</t>
  </si>
  <si>
    <t>GLUCOSE</t>
  </si>
  <si>
    <t>50-99-7</t>
  </si>
  <si>
    <t>蔗糖</t>
  </si>
  <si>
    <t>SUCROSE</t>
  </si>
  <si>
    <t>57-50-1</t>
  </si>
  <si>
    <t>尿素</t>
  </si>
  <si>
    <t>UREA</t>
  </si>
  <si>
    <t>57-13-6</t>
  </si>
  <si>
    <t>烟酸己酯</t>
  </si>
  <si>
    <t>HEXYL NICOTINATE</t>
  </si>
  <si>
    <t>23597-82-2</t>
  </si>
  <si>
    <t>糊精</t>
  </si>
  <si>
    <t>DEXTRIN</t>
  </si>
  <si>
    <t>9004-53-9</t>
  </si>
  <si>
    <t>柠檬酸</t>
  </si>
  <si>
    <t>CITRIC ACID</t>
  </si>
  <si>
    <t>77-92-9</t>
  </si>
  <si>
    <t>聚山梨醇酯-20</t>
  </si>
  <si>
    <t>POLYSORBATE 20</t>
  </si>
  <si>
    <t>Emulsifier</t>
  </si>
  <si>
    <t>9005-64-5</t>
  </si>
  <si>
    <t>结冷胶</t>
  </si>
  <si>
    <t>GELLAN GUM</t>
  </si>
  <si>
    <t>71010-52-1</t>
  </si>
  <si>
    <t>乙二胺二琥珀酸三钠</t>
  </si>
  <si>
    <t>TRISODIUM ETHYLENEDIAMINE DISUCCINATE</t>
  </si>
  <si>
    <t>20846-91-7</t>
  </si>
  <si>
    <t>氯化钠</t>
  </si>
  <si>
    <t>SODIUM CHLORIDE</t>
  </si>
  <si>
    <t>Thickening agent</t>
  </si>
  <si>
    <t>7647-14-5</t>
  </si>
  <si>
    <t>己二醇</t>
  </si>
  <si>
    <t>HEXYLENE GLYCOL</t>
  </si>
  <si>
    <t>107-41-5</t>
  </si>
  <si>
    <t>山梨酸钾</t>
  </si>
  <si>
    <t>POTASSIUM SORBATE</t>
  </si>
  <si>
    <t>Preservative</t>
  </si>
  <si>
    <t>590-00-1</t>
  </si>
  <si>
    <t>苯甲酸钠</t>
  </si>
  <si>
    <t>SODIUM BENZOATE</t>
  </si>
  <si>
    <t>532-32-1</t>
  </si>
  <si>
    <t>1,2-己二醇</t>
  </si>
  <si>
    <t>1,2-HEXANEDIOL</t>
  </si>
  <si>
    <t>6920-22-5</t>
  </si>
  <si>
    <t>辛甘醇</t>
  </si>
  <si>
    <t>CAPRYLYL GLYCOL</t>
  </si>
  <si>
    <t>1117-86-8</t>
  </si>
  <si>
    <t>ICE LERSKIN Acne Removing and Cleansing Mousse</t>
  </si>
  <si>
    <t>椰油酰甘氨酸钠</t>
  </si>
  <si>
    <t>SODIUM COCOYL GLYCINATE</t>
  </si>
  <si>
    <t>90387-74-9</t>
  </si>
  <si>
    <t>月桂酰肌氨酸钠</t>
  </si>
  <si>
    <t>SODIUM LAUROYL SARCOSINATE</t>
  </si>
  <si>
    <t>137-16-6</t>
  </si>
  <si>
    <t>椰油酰两性基乙酸钠</t>
  </si>
  <si>
    <t>SODIUM COCOAMPHOACETATE</t>
  </si>
  <si>
    <t>68334-21-4</t>
  </si>
  <si>
    <t>丁二醇</t>
  </si>
  <si>
    <t>BUTYLENE GLYCOL</t>
  </si>
  <si>
    <t>107-88-0</t>
  </si>
  <si>
    <t>椰油酰胺丙基甜菜碱</t>
  </si>
  <si>
    <t>COCAMIDOPROPYL BETAINE</t>
  </si>
  <si>
    <t>Surfactant</t>
  </si>
  <si>
    <t>61789-40-0</t>
  </si>
  <si>
    <t>季铵盐-73</t>
  </si>
  <si>
    <t>QUATERNIUM-73</t>
  </si>
  <si>
    <t>15763-48-1</t>
  </si>
  <si>
    <t>烟酰胺</t>
  </si>
  <si>
    <t>NIACINAMIDE</t>
  </si>
  <si>
    <t>98-92-0</t>
  </si>
  <si>
    <t>水杨酸</t>
  </si>
  <si>
    <t>SALICYLIC ACID</t>
  </si>
  <si>
    <t>69-72-7</t>
  </si>
  <si>
    <t>阿拉伯胶树（ACACIA SENEGAL）胶</t>
  </si>
  <si>
    <t>ACACIA SENEGAL GUM</t>
  </si>
  <si>
    <t>9000-01-5</t>
  </si>
  <si>
    <t>丙烯酸（酯）类共聚物</t>
  </si>
  <si>
    <t>ACRYLATES COPOLYMER</t>
  </si>
  <si>
    <t>25035-69-2</t>
  </si>
  <si>
    <t>对羟基苯乙酮</t>
  </si>
  <si>
    <t>HYDROXYACETOPHENONE</t>
  </si>
  <si>
    <t>99-93-4</t>
  </si>
  <si>
    <t>泛醇</t>
  </si>
  <si>
    <t>PANTHENOL</t>
  </si>
  <si>
    <t>81-13-0</t>
  </si>
  <si>
    <t>乳酸杆菌发酵产物</t>
  </si>
  <si>
    <t>LACTOBACILLUS FERMENT</t>
  </si>
  <si>
    <t>1686112-36-6</t>
  </si>
  <si>
    <t>赤松（PINUS DENSIFLORA）叶提取物</t>
  </si>
  <si>
    <t>PINUS DENSIFLORA LEAF EXTRACT</t>
  </si>
  <si>
    <t>92202-05-6</t>
  </si>
  <si>
    <t>羟丙基环糊精</t>
  </si>
  <si>
    <t>HYDROXYPROPYL CYCLODEXTRIN</t>
  </si>
  <si>
    <t>128446-33-3</t>
  </si>
  <si>
    <t>双丙甘醇</t>
  </si>
  <si>
    <t>DIPROPYLENE GLYCOL</t>
  </si>
  <si>
    <t>110-98-5</t>
  </si>
  <si>
    <t>透明质酸</t>
  </si>
  <si>
    <t>HYALURONIC ACID</t>
  </si>
  <si>
    <t>9004-61-9</t>
  </si>
  <si>
    <t>苹果酸</t>
  </si>
  <si>
    <t>MALIC ACID</t>
  </si>
  <si>
    <t>97-67-6</t>
  </si>
  <si>
    <t>羟基积雪草甙</t>
  </si>
  <si>
    <t>MADECASSOSIDE</t>
  </si>
  <si>
    <t>34540-22-2</t>
  </si>
  <si>
    <t>龙胆（GENTIANA SCABRA）根提取物</t>
  </si>
  <si>
    <t>GENTIANA SCABRA ROOT EXTRACT</t>
  </si>
  <si>
    <t>95193-52-5</t>
  </si>
  <si>
    <t>3-邻-乙基抗坏血酸</t>
  </si>
  <si>
    <t>3-o-ETHYL ASCORBIC ACID</t>
  </si>
  <si>
    <t>86404-04-8</t>
  </si>
  <si>
    <t>芍药（PAEONIA LACTIFLORA）根提取物</t>
  </si>
  <si>
    <t>PAEONIA LACTIFLORA ROOT EXTRACT</t>
  </si>
  <si>
    <t>/</t>
  </si>
  <si>
    <t>马齿苋（PORTULACA OLERACEA）提取物</t>
  </si>
  <si>
    <t>PORTULACA OLERACEA EXTRACT</t>
  </si>
  <si>
    <t>90083-07-1</t>
  </si>
  <si>
    <t>山茶（CAMELLIA JAPONICA）花提取物</t>
  </si>
  <si>
    <t>CAMELLIA JAPONICA FLOWER EXTRACT</t>
  </si>
  <si>
    <t>223748-13-8</t>
  </si>
  <si>
    <t>EDTA 二钠</t>
  </si>
  <si>
    <t>DISODIUM EDTA</t>
  </si>
  <si>
    <t>Chelating agent</t>
  </si>
  <si>
    <t>139-33-3</t>
  </si>
  <si>
    <t>1,2-戊二醇</t>
  </si>
  <si>
    <t>PENTYLENE GLYCOL</t>
  </si>
  <si>
    <t>5343-92-0</t>
  </si>
  <si>
    <t>异硬脂醇</t>
  </si>
  <si>
    <t>ISOSTEARYL ALCOHOL</t>
  </si>
  <si>
    <t>27458-93-1</t>
  </si>
  <si>
    <t>（日用）香精</t>
  </si>
  <si>
    <t>FRAGRANCE</t>
  </si>
  <si>
    <t>Fragrance</t>
  </si>
  <si>
    <t>Mixture</t>
  </si>
  <si>
    <t>Dual-Color Cleansing Clay Mask</t>
  </si>
  <si>
    <t>溶剂</t>
  </si>
  <si>
    <t/>
  </si>
  <si>
    <t>高岭土</t>
  </si>
  <si>
    <t>KAOLIN</t>
  </si>
  <si>
    <t>填充剂</t>
  </si>
  <si>
    <t>139670-07115-5914</t>
  </si>
  <si>
    <t>WATER</t>
  </si>
  <si>
    <t>保湿剂</t>
  </si>
  <si>
    <t>002421-00814-4519</t>
  </si>
  <si>
    <t>辛酸/癸酸甘油三酯</t>
  </si>
  <si>
    <t>CAPRYLIC/CAPRIC TRIGLYCERIDE</t>
  </si>
  <si>
    <t>润肤剂</t>
  </si>
  <si>
    <t>007206-04783-8980</t>
  </si>
  <si>
    <t>丙二醇</t>
  </si>
  <si>
    <t>PROPYLENE GLYCOL</t>
  </si>
  <si>
    <t>001383-00420-7144</t>
  </si>
  <si>
    <t>棕榈酸乙基己酯</t>
  </si>
  <si>
    <t>ETHYLHEXYL PALMITATE</t>
  </si>
  <si>
    <t>008716-00154-1506</t>
  </si>
  <si>
    <t>鲸蜡硬脂醇</t>
  </si>
  <si>
    <t>CETEARYL ALCOHOL</t>
  </si>
  <si>
    <t>乳化剂</t>
  </si>
  <si>
    <t>003580-01136-7202</t>
  </si>
  <si>
    <t>硬脂酸</t>
  </si>
  <si>
    <t>STEARIC ACID</t>
  </si>
  <si>
    <t>103076-01534-6182</t>
  </si>
  <si>
    <t>棕榈酸</t>
  </si>
  <si>
    <t>PALMITIC ACID</t>
  </si>
  <si>
    <t>甘油硬脂酸酯</t>
  </si>
  <si>
    <t>GLYCERYL STEARATE</t>
  </si>
  <si>
    <t>101521-01445-5909</t>
  </si>
  <si>
    <t>PEG-100 硬脂酸酯</t>
  </si>
  <si>
    <t>PEG-100 STEARATE</t>
  </si>
  <si>
    <t>海藻糖</t>
  </si>
  <si>
    <t>TREHALOSE</t>
  </si>
  <si>
    <t>002745-01390-1494</t>
  </si>
  <si>
    <t>聚二甲基硅氧烷</t>
  </si>
  <si>
    <t>DIMETHICONE</t>
  </si>
  <si>
    <t>003732-01285-6047</t>
  </si>
  <si>
    <t>苯甲醇</t>
  </si>
  <si>
    <t>BENZYL ALCOHOL</t>
  </si>
  <si>
    <t>防腐剂</t>
  </si>
  <si>
    <t>111585-01260-6600</t>
  </si>
  <si>
    <t>乙基己基甘油</t>
  </si>
  <si>
    <t>ETHYLHEXYLGLYCERIN</t>
  </si>
  <si>
    <t>生育酚（维生素E）</t>
  </si>
  <si>
    <t>TOCOPHEROL</t>
  </si>
  <si>
    <t>二氧化钛</t>
  </si>
  <si>
    <t>TITANIUM DIOXIDE</t>
  </si>
  <si>
    <t>着色剂</t>
  </si>
  <si>
    <t>13463-67-7</t>
  </si>
  <si>
    <t>氧化锌</t>
  </si>
  <si>
    <t>ZINC OXIDE</t>
  </si>
  <si>
    <t>1314-13-2</t>
  </si>
  <si>
    <t>氢氧化铝</t>
  </si>
  <si>
    <t>ALUMINUM HYDROXIDE</t>
  </si>
  <si>
    <t>21645-51-2</t>
  </si>
  <si>
    <t>聚丙烯酰胺</t>
  </si>
  <si>
    <t>POLYACRYLAMIDE</t>
  </si>
  <si>
    <t>113379-01988-4718</t>
  </si>
  <si>
    <t>C13-14 异链烷烃</t>
  </si>
  <si>
    <t>C13-14 ISOPARAFFIN</t>
  </si>
  <si>
    <t>月桂醇聚醚-7</t>
  </si>
  <si>
    <t>LAURETH-7</t>
  </si>
  <si>
    <t>氯苯甘醚</t>
  </si>
  <si>
    <t>CHLORPHENESIN</t>
  </si>
  <si>
    <t>004508-01423-7367</t>
  </si>
  <si>
    <t>尿囊素</t>
  </si>
  <si>
    <t>ALLANTOIN</t>
  </si>
  <si>
    <t>皮肤调理剂</t>
  </si>
  <si>
    <t>004823-00588-6671</t>
  </si>
  <si>
    <t>105299-01499-1039</t>
  </si>
  <si>
    <t>芳香剂</t>
  </si>
  <si>
    <t>008782-05353-3923</t>
  </si>
  <si>
    <t>102533-00025-1250</t>
  </si>
  <si>
    <t>膜荚黄芪（ASTRAGALUS MEMBRANACEUS）根提取物</t>
  </si>
  <si>
    <t>ASTRAGALUS MEMBRANACEUS ROOT EXTRACT</t>
  </si>
  <si>
    <t>防风（SAPOSHNIKOVIA DIVARICATA）根提取物</t>
  </si>
  <si>
    <t>SAPOSHNIKOVIA DIVARICATA ROOT EXTRACT</t>
  </si>
  <si>
    <t>金盏花（CALENDULA OFFICINALIS）花提取物</t>
  </si>
  <si>
    <t>CALENDULA OFFICINALIS FLOWER EXTRACT</t>
  </si>
  <si>
    <t>合欢（ALBIZIA JULIBRISSIN）花提取物</t>
  </si>
  <si>
    <t>ALBIZIA JULIBRISSIN FLOWER EXTRACT</t>
  </si>
  <si>
    <t>天麻（GASTRODIA ELATA）根提取物</t>
  </si>
  <si>
    <t>GASTRODIA ELATA ROOT EXTRACT</t>
  </si>
  <si>
    <t>珍珠粉</t>
  </si>
  <si>
    <t>PEARL POWDER</t>
  </si>
  <si>
    <t>008564-00084-7976</t>
  </si>
  <si>
    <t>007359-00144-8844</t>
  </si>
  <si>
    <t>积雪草（CENTELLA ASIATICA）提取物</t>
  </si>
  <si>
    <t>CENTELLA ASIATICA EXTRACT</t>
  </si>
  <si>
    <t>110982-00590-4127</t>
  </si>
  <si>
    <t>苯氧乙醇</t>
  </si>
  <si>
    <t>PHENOXYETHANOL</t>
  </si>
  <si>
    <t>油橄榄（OLEA EUROPAEA）叶提取物</t>
  </si>
  <si>
    <t>OLEA EUROPAEA (OLIVE) LEAF EXTRACT</t>
  </si>
  <si>
    <t>84012-27-1</t>
  </si>
  <si>
    <t>ICE LERSKIN SEA FENNEL Youth Activating Lotion Toner</t>
  </si>
  <si>
    <t>木糖醇基葡糖苷</t>
  </si>
  <si>
    <t>XYLITYLGLUCOSIDE</t>
  </si>
  <si>
    <t>1095751-96-4</t>
  </si>
  <si>
    <t>脱水木糖醇</t>
  </si>
  <si>
    <t>ANHYDROXYLITOL</t>
  </si>
  <si>
    <t>53448-53-6</t>
  </si>
  <si>
    <t>木糖醇</t>
  </si>
  <si>
    <t>XYLITOL</t>
  </si>
  <si>
    <t>87-99-0</t>
  </si>
  <si>
    <t>卡波姆</t>
  </si>
  <si>
    <t>CARBOMER</t>
  </si>
  <si>
    <t>黄原胶</t>
  </si>
  <si>
    <t>XANTHAN GUM</t>
  </si>
  <si>
    <t>11138-66-2</t>
  </si>
  <si>
    <t>122-99-6</t>
  </si>
  <si>
    <t>Antioxidant</t>
  </si>
  <si>
    <t>54-28-4</t>
  </si>
  <si>
    <t>辛酰甘氨酸</t>
  </si>
  <si>
    <t>CAPRYLOYL GLYCINE</t>
  </si>
  <si>
    <t>14246-53-8</t>
  </si>
  <si>
    <t>红没药醇</t>
  </si>
  <si>
    <t>BISABOLOL</t>
  </si>
  <si>
    <t>515-69-5</t>
  </si>
  <si>
    <t>四氢甲基嘧啶羧酸</t>
  </si>
  <si>
    <t>ECTOIN</t>
  </si>
  <si>
    <t>96702-03-3</t>
  </si>
  <si>
    <t>海茴香（CRITHMUM MARITIMUM）提取物</t>
  </si>
  <si>
    <t>CRITHMUM MARITIMUM EXTRACT</t>
  </si>
  <si>
    <t>89997-98-8</t>
  </si>
  <si>
    <t>透明质酸钠</t>
  </si>
  <si>
    <t>SODIUM HYALURONATE</t>
  </si>
  <si>
    <t>9067-32-7</t>
  </si>
  <si>
    <t>胶原</t>
  </si>
  <si>
    <t>COLLAGEN</t>
  </si>
  <si>
    <t>9007-34-5</t>
  </si>
  <si>
    <t>光果甘草（GLYCYRRHIZA GLABRA）根提取物</t>
  </si>
  <si>
    <t>GLYCYRRHIZA GLABRA (LICORICE) ROOT EXTRACT</t>
  </si>
  <si>
    <t>84775-66-6</t>
  </si>
  <si>
    <t>天女木兰（MAGNOLIA SIEBOLDII）提取物</t>
  </si>
  <si>
    <t>MAGNOLIA SIEBOLDII EXTRACT</t>
  </si>
  <si>
    <t>卷柏（SELAGINELLA TAMARISCINA）提取物</t>
  </si>
  <si>
    <t>SELAGINELLA TAMARISCINA EXTRACT</t>
  </si>
  <si>
    <t>北美金缕梅（HAMAMELIS VIRGINIANA）提取物</t>
  </si>
  <si>
    <t>HAMAMELIS VIRGINIANA (WITCH HAZEL) EXTRACT</t>
  </si>
  <si>
    <t>84696-19-5</t>
  </si>
  <si>
    <t>积雪草（CENTELLA ASIATICA）叶提取物</t>
  </si>
  <si>
    <t>CENTELLA ASIATICA LEAF EXTRACT</t>
  </si>
  <si>
    <t>84696-21-9</t>
  </si>
  <si>
    <t>Emollient</t>
  </si>
  <si>
    <t>65381-09-1</t>
  </si>
  <si>
    <t>70445-33-9</t>
  </si>
  <si>
    <t>羟乙基纤维素</t>
  </si>
  <si>
    <t>HYDROXYETHYLCELLULOSE</t>
  </si>
  <si>
    <t>9004-62-0</t>
  </si>
  <si>
    <t>聚山梨醇酯-60</t>
  </si>
  <si>
    <t>POLYSORBATE 60</t>
  </si>
  <si>
    <t>9005-67-8</t>
  </si>
  <si>
    <t>羟苯甲酯</t>
  </si>
  <si>
    <t>METHYLPARABEN</t>
  </si>
  <si>
    <t>99-76-3</t>
  </si>
  <si>
    <t>磷酸氢二钠</t>
  </si>
  <si>
    <t>DISODIUM PHOSPHATE</t>
  </si>
  <si>
    <t>7558-79-4</t>
  </si>
  <si>
    <t>磷酸二氢钠</t>
  </si>
  <si>
    <t>SODIUM PHOSPHATE</t>
  </si>
  <si>
    <t>7558-80-7</t>
  </si>
  <si>
    <t>香精</t>
  </si>
  <si>
    <t>AROMA</t>
  </si>
  <si>
    <t>ICE LERSKIN UV PLUSAqua Shake Day Screen</t>
  </si>
  <si>
    <t>环五聚二甲基硅氧烷</t>
  </si>
  <si>
    <t>CYCLOPENTASILOXANE</t>
  </si>
  <si>
    <t>541-02-6</t>
  </si>
  <si>
    <t>异十六烷</t>
  </si>
  <si>
    <t>ISOHEXADECANE</t>
  </si>
  <si>
    <t>4390-04-9;60908-77-2;93685-80-4</t>
  </si>
  <si>
    <t>霍霍巴（SIMMONDSIA CHINENSIS）籽油</t>
  </si>
  <si>
    <t>SIMMONDSIA CHINENSIS (JOJOBA) SEED OIL</t>
  </si>
  <si>
    <t>61789-91-1</t>
  </si>
  <si>
    <t>硅石</t>
  </si>
  <si>
    <t>SILICA</t>
  </si>
  <si>
    <t>防晒剂</t>
  </si>
  <si>
    <t>7631-86-9;60676-86-0;112945-52-5</t>
  </si>
  <si>
    <t>油橄榄（OLEA EUROPAEA）果油</t>
  </si>
  <si>
    <t>OLEA EUROPAEA (OLIVE) FRUIT OIL</t>
  </si>
  <si>
    <t>8001-25-0;84012-27-1</t>
  </si>
  <si>
    <t>水杨酸乙基己酯</t>
  </si>
  <si>
    <t>ETHYLHEXYL SALICYLATE</t>
  </si>
  <si>
    <t>118-60-5</t>
  </si>
  <si>
    <t>奥克立林</t>
  </si>
  <si>
    <t>OCTOCRYLENE</t>
  </si>
  <si>
    <t>6197-30-4</t>
  </si>
  <si>
    <t>胡莫柳酯</t>
  </si>
  <si>
    <t>HOMOSALATE</t>
  </si>
  <si>
    <t>118-56-9</t>
  </si>
  <si>
    <t>107-52-8;141-62-8;141-63-9;9006-65-9;9016-00-6;63148-62-9</t>
  </si>
  <si>
    <t>聚二甲基硅氧烷/乙烯基聚二甲基硅氧烷交联聚合物</t>
  </si>
  <si>
    <t>DIMETHICONE/VINYL DIMETHICONE CROSSPOLYMER</t>
  </si>
  <si>
    <t>156065-02-0;1121910-42-6</t>
  </si>
  <si>
    <t>甲氧基肉桂酸乙基己酯</t>
  </si>
  <si>
    <t>ETHYLHEXYL METHOXYCINNAMATE</t>
  </si>
  <si>
    <t>5466-77-3</t>
  </si>
  <si>
    <t>丁基甲氧基二苯甲酰基甲烷</t>
  </si>
  <si>
    <t>BUTYL METHOXYDIBENZOYLMETHANE</t>
  </si>
  <si>
    <t>70356-09-1</t>
  </si>
  <si>
    <t>卵磷脂</t>
  </si>
  <si>
    <t>LECITHIN</t>
  </si>
  <si>
    <t>8002-43-5;8030-76-0;93685-90-6</t>
  </si>
  <si>
    <t>84696-21-9;84776-24-9</t>
  </si>
  <si>
    <t>99-20-7;6138-23-4</t>
  </si>
  <si>
    <t>双-乙基己氧苯酚甲氧苯基三嗪</t>
  </si>
  <si>
    <t>BIS-ETHYLHEXYLOXYPHENOL METHOXYPHENYL TRIAZINE</t>
  </si>
  <si>
    <t>187393-00-6</t>
  </si>
  <si>
    <t>月桂基 PEG-9 聚二甲基硅氧乙基聚二甲基硅氧烷</t>
  </si>
  <si>
    <t>LAURYL PEG-9 POLYDIMETHYLSILOXYETHYL DIMETHICONE</t>
  </si>
  <si>
    <t>乙基己基三嗪酮</t>
  </si>
  <si>
    <t>ETHYLHEXYL TRIAZONE</t>
  </si>
  <si>
    <t>88122-99-0</t>
  </si>
  <si>
    <t>二乙基己基丁酰胺基三嗪酮</t>
  </si>
  <si>
    <t>DIETHYLHEXYL BUTAMIDO TRIAZONE</t>
  </si>
  <si>
    <t>154702-15-5</t>
  </si>
  <si>
    <t>增稠剂</t>
  </si>
  <si>
    <t>苯基聚三甲基硅氧烷</t>
  </si>
  <si>
    <t>PHENYL TRIMETHICONE</t>
  </si>
  <si>
    <t>2116-84-9;18758-91-3;18876-34-1;70131-69-0;73559-47-4;195868-36-1</t>
  </si>
  <si>
    <t>神经酰胺 NP</t>
  </si>
  <si>
    <t>CERAMIDE NP</t>
  </si>
  <si>
    <t>100403-19-8；34354-88-6；72968-43-5</t>
  </si>
  <si>
    <t>27458-93-1;41744-75-6</t>
  </si>
  <si>
    <t>鲸蜡基 PEG/PPG-10/1 聚二甲基硅氧烷</t>
  </si>
  <si>
    <t>CETYL PEG/PPG-10/1 DIMETHICONE</t>
  </si>
  <si>
    <t>144243-53-8</t>
  </si>
  <si>
    <t>羟苯乙酯</t>
  </si>
  <si>
    <t>ETHYLPARABEN</t>
  </si>
  <si>
    <t>120-47-8</t>
  </si>
  <si>
    <t>57-55-6</t>
  </si>
  <si>
    <t>生育酚乙酸酯</t>
  </si>
  <si>
    <t>TOCOPHERYL ACETATE</t>
  </si>
  <si>
    <t>58-95-7;7695-91-2;52225-20-4</t>
  </si>
  <si>
    <t>螯合剂</t>
  </si>
  <si>
    <t>139-33-3;6381-92-6</t>
  </si>
  <si>
    <t>ICE LERSKIN-DAY &amp; NIGHT BLEMISH RESCUE SERUM (DAY)</t>
  </si>
  <si>
    <t>甘油聚醚-26</t>
  </si>
  <si>
    <t>GLYCERETH-26</t>
  </si>
  <si>
    <t>31694-55-0</t>
  </si>
  <si>
    <t>甘油聚甲基丙烯酸酯</t>
  </si>
  <si>
    <t>GLYCERYL POLYMETHACRYLATE</t>
  </si>
  <si>
    <t>28474-30-8;146126-21-8</t>
  </si>
  <si>
    <t>PVM/MA 共聚物</t>
  </si>
  <si>
    <t>PVM/MA COPOLYMER</t>
  </si>
  <si>
    <t>9011-16-9;25153-40-6;25249-64-3</t>
  </si>
  <si>
    <t>聚乙二醇-14M</t>
  </si>
  <si>
    <t>PEG-14M</t>
  </si>
  <si>
    <t>25322-68-3</t>
  </si>
  <si>
    <t>咖啡黄葵（HIBISCUS ESCULENTUS）果提取物</t>
  </si>
  <si>
    <t>HIBISCUS ESCULENTUS FRUIT EXTRACT</t>
  </si>
  <si>
    <t>91723-07-8</t>
  </si>
  <si>
    <t>邻伞花烃-5-醇</t>
  </si>
  <si>
    <t>o-CYMEN-5-OL</t>
  </si>
  <si>
    <t>3228-02-2;39660-61-2</t>
  </si>
  <si>
    <t>异戊二醇</t>
  </si>
  <si>
    <t>ISOPENTYLDIOL</t>
  </si>
  <si>
    <t>2568-33-4</t>
  </si>
  <si>
    <t>霍霍巴蜡 PEG-120 酯类</t>
  </si>
  <si>
    <t>JOJOBA WAX PEG-120 ESTERS</t>
  </si>
  <si>
    <t>159518-81-7</t>
  </si>
  <si>
    <t>辛酰羟肟酸</t>
  </si>
  <si>
    <t>CAPRYLHYDROXAMIC ACID</t>
  </si>
  <si>
    <t>7337-03-9</t>
  </si>
  <si>
    <t>PEG-40 氢化蓖麻油</t>
  </si>
  <si>
    <t>PEG-40 HYDROGENATED CASTOR OIL</t>
  </si>
  <si>
    <t>增溶剂</t>
  </si>
  <si>
    <t>61788-85-0</t>
  </si>
  <si>
    <t>舒缓剂</t>
  </si>
  <si>
    <t>CI 15985</t>
  </si>
  <si>
    <t>2783-94-0</t>
  </si>
  <si>
    <t>CI 19140</t>
  </si>
  <si>
    <t>1934-21-0;12225-21-7</t>
  </si>
  <si>
    <t>ICE LERSKIN-TRIPLE ACID CLARIFYING TREATMENT SPRAY</t>
  </si>
  <si>
    <t>赤藓醇</t>
  </si>
  <si>
    <t>ERYTHRITOL</t>
  </si>
  <si>
    <t>149-32-6;7541-59-5</t>
  </si>
  <si>
    <t>皱波角叉菜（CHONDRUS CRISPUS）提取物</t>
  </si>
  <si>
    <t>CHONDRUS CRISPUS EXTRACT</t>
  </si>
  <si>
    <t>244023-79-8</t>
  </si>
  <si>
    <t>81-13-0;16485-10-2</t>
  </si>
  <si>
    <t>乳糖酸</t>
  </si>
  <si>
    <t>LACTOBIONIC ACID</t>
  </si>
  <si>
    <t>96-82-2</t>
  </si>
  <si>
    <t>甘草酸二钾</t>
  </si>
  <si>
    <t>DIPOTASSIUM GLYCYRRHIZATE</t>
  </si>
  <si>
    <t>68797-35-3</t>
  </si>
  <si>
    <t>Lithe Luminous Repair Hair Elixir - Fig</t>
  </si>
  <si>
    <t>107-52-8</t>
  </si>
  <si>
    <t>向日葵（HELIANTHUS ANNUUS）籽油</t>
  </si>
  <si>
    <t>HELIANTHUS ANNUUS (SUNFLOWER) SEED OIL</t>
  </si>
  <si>
    <t>8001-21-6</t>
  </si>
  <si>
    <t>白池花（LIMNANTHES ALBA）籽油</t>
  </si>
  <si>
    <t>LIMNANTHES ALBA (MEADOWFOAM) SEED OIL</t>
  </si>
  <si>
    <t>153065-40-8</t>
  </si>
  <si>
    <t>澳洲坚果（MACADAMIA TERNIFOLIA）籽油</t>
  </si>
  <si>
    <t>MACADAMIA TERNIFOLIA SEED OIL</t>
  </si>
  <si>
    <t>129811-19-4</t>
  </si>
  <si>
    <t>角鲨烷</t>
  </si>
  <si>
    <t>SQUALANE</t>
  </si>
  <si>
    <t>111-01-3</t>
  </si>
  <si>
    <t>58-95-7</t>
  </si>
  <si>
    <t>山茶（CAMELLIA JAPONICA）籽油</t>
  </si>
  <si>
    <t>CAMELLIA JAPONICA SEED OIL</t>
  </si>
  <si>
    <t>香叶天竺葵（PELARGONIUM GRAVEOLENS）花油</t>
  </si>
  <si>
    <t>PELARGONIUM GRAVEOLENS FLOWER OIL</t>
  </si>
  <si>
    <t>8000-46-2</t>
  </si>
  <si>
    <t>燕麦（AVENA SATIVA）仁油</t>
  </si>
  <si>
    <t>AVENA SATIVA (OAT) KERNEL OIL</t>
  </si>
  <si>
    <t>84012-26-0</t>
  </si>
  <si>
    <t>Lithe Luminous Repair Hair Elixir - Jasmine</t>
  </si>
  <si>
    <t>Lithe Luminous Repair Hair Elixir - Lavender</t>
  </si>
  <si>
    <t>Lithe Luminous Repair Hair Elixir - Osmanthus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</si>
</sst>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[$-409]mmm&quot;-&quot;yy;@"/>
    <numFmt numFmtId="178" formatCode="00000.0"/>
    <numFmt numFmtId="179" formatCode="0.00_);[Red]\(0.00\)"/>
  </numFmts>
  <fonts count="40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2"/>
      <name val="华文楷体"/>
      <charset val="134"/>
    </font>
    <font>
      <sz val="11"/>
      <color theme="1"/>
      <name val="仿宋_GB2312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10"/>
      <color rgb="FF000000"/>
      <name val="宋体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ajor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  <scheme val="minor"/>
    </font>
    <font>
      <sz val="10"/>
      <color theme="1"/>
      <name val="华文仿宋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0" fillId="4" borderId="29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30">
      <alignment vertical="center"/>
    </xf>
    <xf numFmtId="0" fontId="27" fillId="0" borderId="30">
      <alignment vertical="center"/>
    </xf>
    <xf numFmtId="0" fontId="28" fillId="0" borderId="31">
      <alignment vertical="center"/>
    </xf>
    <xf numFmtId="0" fontId="28" fillId="0" borderId="0">
      <alignment vertical="center"/>
    </xf>
    <xf numFmtId="0" fontId="29" fillId="5" borderId="32">
      <alignment vertical="center"/>
    </xf>
    <xf numFmtId="0" fontId="30" fillId="6" borderId="33">
      <alignment vertical="center"/>
    </xf>
    <xf numFmtId="0" fontId="31" fillId="6" borderId="32">
      <alignment vertical="center"/>
    </xf>
    <xf numFmtId="0" fontId="32" fillId="7" borderId="34">
      <alignment vertical="center"/>
    </xf>
    <xf numFmtId="0" fontId="33" fillId="0" borderId="35">
      <alignment vertical="center"/>
    </xf>
    <xf numFmtId="0" fontId="34" fillId="0" borderId="36">
      <alignment vertical="center"/>
    </xf>
    <xf numFmtId="0" fontId="35" fillId="8" borderId="0">
      <alignment vertical="center"/>
    </xf>
    <xf numFmtId="0" fontId="36" fillId="9" borderId="0">
      <alignment vertical="center"/>
    </xf>
    <xf numFmtId="0" fontId="37" fillId="10" borderId="0">
      <alignment vertical="center"/>
    </xf>
    <xf numFmtId="0" fontId="38" fillId="11" borderId="0">
      <alignment vertical="center"/>
    </xf>
    <xf numFmtId="0" fontId="39" fillId="12" borderId="0">
      <alignment vertical="center"/>
    </xf>
    <xf numFmtId="0" fontId="39" fillId="13" borderId="0">
      <alignment vertical="center"/>
    </xf>
    <xf numFmtId="0" fontId="38" fillId="14" borderId="0">
      <alignment vertical="center"/>
    </xf>
    <xf numFmtId="0" fontId="38" fillId="15" borderId="0">
      <alignment vertical="center"/>
    </xf>
    <xf numFmtId="0" fontId="39" fillId="16" borderId="0">
      <alignment vertical="center"/>
    </xf>
    <xf numFmtId="0" fontId="39" fillId="17" borderId="0">
      <alignment vertical="center"/>
    </xf>
    <xf numFmtId="0" fontId="38" fillId="18" borderId="0">
      <alignment vertical="center"/>
    </xf>
    <xf numFmtId="0" fontId="38" fillId="19" borderId="0">
      <alignment vertical="center"/>
    </xf>
    <xf numFmtId="0" fontId="39" fillId="20" borderId="0">
      <alignment vertical="center"/>
    </xf>
    <xf numFmtId="0" fontId="39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9" fillId="24" borderId="0">
      <alignment vertical="center"/>
    </xf>
    <xf numFmtId="0" fontId="39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9" fillId="28" borderId="0">
      <alignment vertical="center"/>
    </xf>
    <xf numFmtId="0" fontId="39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9" fillId="32" borderId="0">
      <alignment vertical="center"/>
    </xf>
    <xf numFmtId="0" fontId="39" fillId="33" borderId="0">
      <alignment vertical="center"/>
    </xf>
    <xf numFmtId="0" fontId="38" fillId="34" borderId="0">
      <alignment vertical="center"/>
    </xf>
    <xf numFmtId="0" fontId="0" fillId="0" borderId="0">
      <alignment vertical="center"/>
    </xf>
  </cellStyleXfs>
  <cellXfs count="100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1" fillId="2" borderId="0" xfId="49" applyFont="1" applyFill="1" applyAlignment="1">
      <alignment vertical="center"/>
    </xf>
    <xf numFmtId="0" fontId="1" fillId="2" borderId="0" xfId="0" applyFont="1" applyFill="1" applyAlignment="1">
      <alignment vertical="center"/>
    </xf>
    <xf numFmtId="176" fontId="2" fillId="2" borderId="1" xfId="49" applyNumberFormat="1" applyFont="1" applyFill="1" applyBorder="1" applyAlignment="1">
      <alignment horizontal="center" vertical="center" wrapText="1"/>
    </xf>
    <xf numFmtId="177" fontId="3" fillId="0" borderId="1" xfId="49" applyNumberFormat="1" applyFont="1" applyBorder="1" applyAlignment="1">
      <alignment horizontal="center" vertical="center" wrapText="1"/>
    </xf>
    <xf numFmtId="0" fontId="4" fillId="0" borderId="1" xfId="49" applyFont="1" applyBorder="1" applyAlignment="1">
      <alignment vertical="center" wrapText="1"/>
    </xf>
    <xf numFmtId="0" fontId="4" fillId="0" borderId="1" xfId="49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0" borderId="1" xfId="49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6" xfId="0" applyBorder="1" applyAlignment="1"/>
    <xf numFmtId="0" fontId="0" fillId="0" borderId="4" xfId="0" applyBorder="1" applyAlignment="1"/>
    <xf numFmtId="0" fontId="0" fillId="0" borderId="7" xfId="0" applyBorder="1" applyAlignment="1"/>
    <xf numFmtId="0" fontId="12" fillId="0" borderId="1" xfId="0" applyFont="1" applyBorder="1" applyAlignment="1">
      <alignment horizontal="center" vertical="center" wrapText="1"/>
    </xf>
    <xf numFmtId="177" fontId="12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78" fontId="1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77" fontId="1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  <xf numFmtId="0" fontId="17" fillId="3" borderId="1" xfId="49" applyFont="1" applyFill="1" applyBorder="1" applyAlignment="1">
      <alignment horizontal="left" vertical="center" wrapText="1"/>
    </xf>
    <xf numFmtId="179" fontId="17" fillId="3" borderId="1" xfId="49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 shrinkToFit="1"/>
    </xf>
    <xf numFmtId="0" fontId="4" fillId="0" borderId="5" xfId="0" applyFont="1" applyBorder="1" applyAlignment="1">
      <alignment horizontal="center" vertical="center" wrapText="1"/>
    </xf>
    <xf numFmtId="0" fontId="0" fillId="0" borderId="0" xfId="49" applyAlignment="1">
      <alignment horizontal="center" vertical="center"/>
    </xf>
    <xf numFmtId="0" fontId="10" fillId="0" borderId="1" xfId="49" applyFont="1" applyBorder="1" applyAlignment="1">
      <alignment horizontal="center" vertical="center" wrapText="1"/>
    </xf>
    <xf numFmtId="0" fontId="5" fillId="0" borderId="1" xfId="49" applyFont="1" applyBorder="1" applyAlignment="1">
      <alignment horizontal="center" vertical="center" wrapText="1"/>
    </xf>
    <xf numFmtId="0" fontId="0" fillId="0" borderId="1" xfId="49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3" borderId="1" xfId="49" applyFill="1" applyBorder="1" applyAlignment="1">
      <alignment horizontal="center" vertical="center" wrapText="1"/>
    </xf>
    <xf numFmtId="0" fontId="0" fillId="0" borderId="1" xfId="49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0" fillId="0" borderId="11" xfId="0" applyFont="1" applyBorder="1" applyAlignment="1">
      <alignment horizontal="center" vertical="center" wrapTex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>
      <alignment horizontal="center" vertical="center"/>
    </xf>
    <xf numFmtId="0" fontId="0" fillId="0" borderId="15" xfId="0" applyBorder="1" applyAlignment="1"/>
    <xf numFmtId="0" fontId="0" fillId="0" borderId="8" xfId="0" applyBorder="1" applyAlignment="1"/>
    <xf numFmtId="0" fontId="0" fillId="0" borderId="16" xfId="0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0" fillId="0" borderId="18" xfId="0" applyBorder="1" applyAlignment="1"/>
    <xf numFmtId="0" fontId="0" fillId="0" borderId="19" xfId="0" applyBorder="1" applyAlignment="1"/>
    <xf numFmtId="0" fontId="0" fillId="2" borderId="1" xfId="0" applyFill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2" borderId="26" xfId="0" applyFill="1" applyBorder="1" applyAlignment="1">
      <alignment horizontal="left" vertical="center" wrapText="1"/>
    </xf>
    <xf numFmtId="0" fontId="0" fillId="0" borderId="26" xfId="0" applyBorder="1" applyAlignment="1">
      <alignment vertical="center" wrapText="1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2" workbookViewId="0">
      <selection activeCell="B10" sqref="B10"/>
    </sheetView>
  </sheetViews>
  <sheetFormatPr defaultColWidth="9" defaultRowHeight="13.5"/>
  <cols>
    <col min="1" max="1" width="7.625" style="72" customWidth="1"/>
    <col min="2" max="2" width="40.375" style="1" customWidth="1"/>
    <col min="3" max="6" width="15.625" style="1" customWidth="1"/>
    <col min="7" max="13" width="13" style="1" customWidth="1"/>
  </cols>
  <sheetData>
    <row r="1" ht="62" customHeight="1" spans="1:13">
      <c r="A1" s="73" t="s">
        <v>0</v>
      </c>
      <c r="B1" s="74" t="s">
        <v>1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ht="29.25" customHeight="1" spans="1:13">
      <c r="A2" s="77">
        <v>1</v>
      </c>
      <c r="B2" s="21" t="s">
        <v>2</v>
      </c>
      <c r="C2" s="29" t="s">
        <v>3</v>
      </c>
      <c r="D2" s="78"/>
      <c r="E2" s="78"/>
      <c r="F2" s="78"/>
      <c r="G2" s="78"/>
      <c r="H2" s="78"/>
      <c r="I2" s="78"/>
      <c r="J2" s="78"/>
      <c r="K2" s="78"/>
      <c r="L2" s="78"/>
      <c r="M2" s="79"/>
    </row>
    <row r="3" ht="29.25" customHeight="1" spans="1:13">
      <c r="A3" s="77">
        <v>2</v>
      </c>
      <c r="B3" s="21" t="s">
        <v>4</v>
      </c>
      <c r="C3" s="29" t="s">
        <v>5</v>
      </c>
      <c r="D3" s="78"/>
      <c r="E3" s="78"/>
      <c r="F3" s="78"/>
      <c r="G3" s="78"/>
      <c r="H3" s="78"/>
      <c r="I3" s="78"/>
      <c r="J3" s="78"/>
      <c r="K3" s="78"/>
      <c r="L3" s="78"/>
      <c r="M3" s="79"/>
    </row>
    <row r="4" ht="29.25" customHeight="1" spans="1:13">
      <c r="A4" s="77">
        <v>3</v>
      </c>
      <c r="B4" s="21" t="s">
        <v>6</v>
      </c>
      <c r="C4" s="29" t="s">
        <v>7</v>
      </c>
      <c r="D4" s="78"/>
      <c r="E4" s="78"/>
      <c r="F4" s="78"/>
      <c r="G4" s="78"/>
      <c r="H4" s="78"/>
      <c r="I4" s="78"/>
      <c r="J4" s="78"/>
      <c r="K4" s="78"/>
      <c r="L4" s="78"/>
      <c r="M4" s="79"/>
    </row>
    <row r="5" ht="29.25" customHeight="1" spans="1:13">
      <c r="A5" s="77">
        <v>4</v>
      </c>
      <c r="B5" s="21" t="s">
        <v>8</v>
      </c>
      <c r="C5" s="29" t="s">
        <v>9</v>
      </c>
      <c r="D5" s="78"/>
      <c r="E5" s="78"/>
      <c r="F5" s="78"/>
      <c r="G5" s="78"/>
      <c r="H5" s="78"/>
      <c r="I5" s="78"/>
      <c r="J5" s="78"/>
      <c r="K5" s="78"/>
      <c r="L5" s="78"/>
      <c r="M5" s="79"/>
    </row>
    <row r="6" ht="29.25" customHeight="1" spans="1:13">
      <c r="A6" s="80">
        <v>5</v>
      </c>
      <c r="B6" s="21" t="s">
        <v>10</v>
      </c>
      <c r="C6" s="29" t="s">
        <v>11</v>
      </c>
      <c r="D6" s="78"/>
      <c r="E6" s="78"/>
      <c r="F6" s="78"/>
      <c r="G6" s="78"/>
      <c r="H6" s="78"/>
      <c r="I6" s="78"/>
      <c r="J6" s="78"/>
      <c r="K6" s="78"/>
      <c r="L6" s="78"/>
      <c r="M6" s="79"/>
    </row>
    <row r="7" ht="29.25" customHeight="1" spans="1:13">
      <c r="A7" s="80">
        <v>6</v>
      </c>
      <c r="B7" s="21" t="s">
        <v>12</v>
      </c>
      <c r="C7" s="29" t="s">
        <v>13</v>
      </c>
      <c r="D7" s="78"/>
      <c r="E7" s="78"/>
      <c r="F7" s="78"/>
      <c r="G7" s="78"/>
      <c r="H7" s="78"/>
      <c r="I7" s="78"/>
      <c r="J7" s="78"/>
      <c r="K7" s="78"/>
      <c r="L7" s="78"/>
      <c r="M7" s="79"/>
    </row>
    <row r="8" ht="29.25" customHeight="1" spans="1:13">
      <c r="A8" s="80">
        <v>7</v>
      </c>
      <c r="B8" s="21" t="s">
        <v>14</v>
      </c>
      <c r="C8" s="29"/>
      <c r="D8" s="78"/>
      <c r="E8" s="78"/>
      <c r="F8" s="78"/>
      <c r="G8" s="78"/>
      <c r="H8" s="78"/>
      <c r="I8" s="78"/>
      <c r="J8" s="78"/>
      <c r="K8" s="78"/>
      <c r="L8" s="78"/>
      <c r="M8" s="79"/>
    </row>
    <row r="9" ht="29.25" customHeight="1" spans="1:13">
      <c r="A9" s="80">
        <v>8</v>
      </c>
      <c r="B9" s="21" t="s">
        <v>15</v>
      </c>
      <c r="C9" s="81" t="s">
        <v>16</v>
      </c>
      <c r="D9" s="82"/>
      <c r="E9" s="82"/>
      <c r="F9" s="82"/>
      <c r="G9" s="82"/>
      <c r="H9" s="82"/>
      <c r="I9" s="82"/>
      <c r="J9" s="82"/>
      <c r="K9" s="82"/>
      <c r="L9" s="82"/>
      <c r="M9" s="83"/>
    </row>
    <row r="10" ht="54" customHeight="1" spans="1:13">
      <c r="A10" s="80">
        <v>9</v>
      </c>
      <c r="B10" s="84" t="s">
        <v>17</v>
      </c>
      <c r="C10" s="81"/>
      <c r="D10" s="82"/>
      <c r="E10" s="82"/>
      <c r="F10" s="82"/>
      <c r="G10" s="82"/>
      <c r="H10" s="82"/>
      <c r="I10" s="82"/>
      <c r="J10" s="82"/>
      <c r="K10" s="82"/>
      <c r="L10" s="82"/>
      <c r="M10" s="83"/>
    </row>
    <row r="11" ht="29.25" customHeight="1" spans="1:13">
      <c r="A11" s="80">
        <v>10</v>
      </c>
      <c r="B11" s="85" t="s">
        <v>18</v>
      </c>
      <c r="C11" s="86" t="s">
        <v>19</v>
      </c>
      <c r="D11" s="82"/>
      <c r="E11" s="82"/>
      <c r="F11" s="82"/>
      <c r="G11" s="82"/>
      <c r="H11" s="82"/>
      <c r="I11" s="82"/>
      <c r="J11" s="82"/>
      <c r="K11" s="82"/>
      <c r="L11" s="82"/>
      <c r="M11" s="83"/>
    </row>
    <row r="12" ht="29.25" customHeight="1" spans="1:13">
      <c r="A12" s="80">
        <v>11</v>
      </c>
      <c r="B12" s="85"/>
      <c r="C12" s="87" t="s">
        <v>20</v>
      </c>
      <c r="D12" s="88" t="s">
        <v>21</v>
      </c>
      <c r="E12" s="88" t="s">
        <v>22</v>
      </c>
      <c r="F12" s="88" t="s">
        <v>23</v>
      </c>
      <c r="G12" s="88" t="s">
        <v>24</v>
      </c>
      <c r="H12" s="88" t="s">
        <v>25</v>
      </c>
      <c r="I12" s="88" t="s">
        <v>26</v>
      </c>
      <c r="J12" s="88" t="s">
        <v>27</v>
      </c>
      <c r="K12" s="89" t="s">
        <v>28</v>
      </c>
      <c r="L12" s="88" t="s">
        <v>29</v>
      </c>
      <c r="M12" s="90" t="s">
        <v>30</v>
      </c>
    </row>
    <row r="13" ht="29.25" customHeight="1" spans="1:13">
      <c r="A13" s="80">
        <v>12</v>
      </c>
      <c r="B13" s="21" t="s">
        <v>31</v>
      </c>
      <c r="C13" s="91" t="s">
        <v>32</v>
      </c>
      <c r="D13" s="91" t="s">
        <v>33</v>
      </c>
      <c r="E13" s="91" t="s">
        <v>34</v>
      </c>
      <c r="F13" s="91" t="s">
        <v>35</v>
      </c>
      <c r="G13" s="91" t="s">
        <v>36</v>
      </c>
      <c r="H13" s="91" t="s">
        <v>37</v>
      </c>
      <c r="I13" s="91" t="s">
        <v>38</v>
      </c>
      <c r="J13" s="91" t="s">
        <v>39</v>
      </c>
      <c r="K13" s="92" t="s">
        <v>40</v>
      </c>
      <c r="L13" s="91" t="s">
        <v>41</v>
      </c>
      <c r="M13" s="93" t="s">
        <v>42</v>
      </c>
    </row>
    <row r="14" ht="29.25" customHeight="1" spans="1:13">
      <c r="A14" s="80">
        <v>13</v>
      </c>
      <c r="B14" s="21" t="s">
        <v>43</v>
      </c>
      <c r="C14" s="21" t="s">
        <v>44</v>
      </c>
      <c r="D14" s="21" t="s">
        <v>45</v>
      </c>
      <c r="E14" s="21" t="s">
        <v>46</v>
      </c>
      <c r="F14" s="21" t="s">
        <v>44</v>
      </c>
      <c r="G14" s="21" t="s">
        <v>47</v>
      </c>
      <c r="H14" s="21" t="s">
        <v>48</v>
      </c>
      <c r="I14" s="21" t="s">
        <v>49</v>
      </c>
      <c r="J14" s="21" t="s">
        <v>44</v>
      </c>
      <c r="K14" s="85" t="s">
        <v>44</v>
      </c>
      <c r="L14" s="21" t="s">
        <v>44</v>
      </c>
      <c r="M14" s="94" t="s">
        <v>44</v>
      </c>
    </row>
    <row r="15" ht="29.25" customHeight="1" spans="1:13">
      <c r="A15" s="80">
        <v>14</v>
      </c>
      <c r="B15" s="21" t="s">
        <v>50</v>
      </c>
      <c r="C15" s="21" t="s">
        <v>51</v>
      </c>
      <c r="D15" s="21" t="s">
        <v>51</v>
      </c>
      <c r="E15" s="21" t="s">
        <v>51</v>
      </c>
      <c r="F15" s="21" t="s">
        <v>51</v>
      </c>
      <c r="G15" s="21" t="s">
        <v>51</v>
      </c>
      <c r="H15" s="21" t="s">
        <v>51</v>
      </c>
      <c r="I15" s="21" t="s">
        <v>52</v>
      </c>
      <c r="J15" s="21" t="s">
        <v>53</v>
      </c>
      <c r="K15" s="85" t="s">
        <v>53</v>
      </c>
      <c r="L15" s="21" t="s">
        <v>53</v>
      </c>
      <c r="M15" s="94" t="s">
        <v>53</v>
      </c>
    </row>
    <row r="16" ht="29.25" customHeight="1" spans="1:13">
      <c r="A16" s="80">
        <v>15</v>
      </c>
      <c r="B16" s="21" t="s">
        <v>54</v>
      </c>
      <c r="C16" s="21"/>
      <c r="D16" s="21"/>
      <c r="E16" s="21"/>
      <c r="F16" s="21"/>
      <c r="G16" s="21"/>
      <c r="H16" s="21"/>
      <c r="I16" s="21"/>
      <c r="J16" s="21"/>
      <c r="K16" s="85"/>
      <c r="L16" s="21"/>
      <c r="M16" s="94"/>
    </row>
    <row r="17" ht="29.25" customHeight="1" spans="1:13">
      <c r="A17" s="80">
        <v>16</v>
      </c>
      <c r="B17" s="21" t="s">
        <v>55</v>
      </c>
      <c r="C17" s="21"/>
      <c r="D17" s="21"/>
      <c r="E17" s="21"/>
      <c r="F17" s="21"/>
      <c r="G17" s="21"/>
      <c r="H17" s="21"/>
      <c r="I17" s="21"/>
      <c r="J17" s="21"/>
      <c r="K17" s="85"/>
      <c r="L17" s="21"/>
      <c r="M17" s="94"/>
    </row>
    <row r="18" ht="29.25" customHeight="1" spans="1:13">
      <c r="A18" s="80">
        <v>17</v>
      </c>
      <c r="B18" s="21" t="s">
        <v>56</v>
      </c>
      <c r="C18" s="21"/>
      <c r="D18" s="21"/>
      <c r="E18" s="21"/>
      <c r="F18" s="21"/>
      <c r="G18" s="21"/>
      <c r="H18" s="21"/>
      <c r="I18" s="21"/>
      <c r="J18" s="21"/>
      <c r="K18" s="85"/>
      <c r="L18" s="21"/>
      <c r="M18" s="94"/>
    </row>
    <row r="19" ht="46" customHeight="1" spans="1:13">
      <c r="A19" s="80">
        <v>18</v>
      </c>
      <c r="B19" s="95" t="s">
        <v>57</v>
      </c>
      <c r="C19" s="96"/>
      <c r="D19" s="97"/>
      <c r="E19" s="97"/>
      <c r="F19" s="97"/>
      <c r="G19" s="97"/>
      <c r="H19" s="97"/>
      <c r="I19" s="97"/>
      <c r="J19" s="97"/>
      <c r="K19" s="98"/>
      <c r="L19" s="97"/>
      <c r="M19" s="99"/>
    </row>
  </sheetData>
  <mergeCells count="11">
    <mergeCell ref="B1:M1"/>
    <mergeCell ref="C2:M2"/>
    <mergeCell ref="C3:M3"/>
    <mergeCell ref="C4:M4"/>
    <mergeCell ref="C5:M5"/>
    <mergeCell ref="C6:M6"/>
    <mergeCell ref="C7:M7"/>
    <mergeCell ref="C8:M8"/>
    <mergeCell ref="C9:M9"/>
    <mergeCell ref="C10:M10"/>
    <mergeCell ref="C11:M11"/>
  </mergeCells>
  <hyperlinks>
    <hyperlink ref="C13" location="'第一款成分'!A1" display="ICE LERSKIN 7% 果酸乙醇爽肤水 / ICE LERSKIN 7% GLYCOLIC ACID TONER"/>
    <hyperlink ref="D13" location="'第二款成分'!A1" display="ICE LERSKIN 洁面慕斯 / ICE LERSKIN ACNE REMOVING AND CLEANSING MOUSSE"/>
    <hyperlink ref="E13" location="'第三款成分'!A1" display="ICE LERSKIN 双色泥膜 / ICE LERSKIN DUAL-COLOR CLEANSING CLAY MASK"/>
    <hyperlink ref="F13" location="'第四款成分'!A1" display="ICE LERSKIN 海茴香焕肤水 / ICE LERSKIN SEA FENNEL YOUTH ACTIVATING LOTION TONER"/>
    <hyperlink ref="G13" location="'第五款成分'!A1" display="ICE LERSKIN 防晒乳 / ICE LERSKIN UV PLUS AQUA SHAKE DAY SCREEN"/>
    <hyperlink ref="H13" location="'第六款成分'!A1" display="ICE LERSKIN 日夜爆痘急救笔 / ICE LERSKIN-DAY &amp; NIGHT BLEMISH RESCUE SERUM (DAY)"/>
    <hyperlink ref="I13" location="'第七款成分'!A1" display="ICE LERSKIN 三酸净化喷雾 / ICE LERSKIN-TRIPLE ACID CLARIFYING TREATMENT SPRAY"/>
    <hyperlink ref="J13" location="'第八款成分'!A1" display="ICE LERSKIN 护发精油 (无花果)-粉色 / ICE LERSKIN LITHE LUMINOUS REPAIR HAIR ELIXIR - FIG"/>
    <hyperlink ref="K13" location="'第九款成分'!A1" display="ICE LERSKIN 护发精油(茉莉)-绿色 / ICE LERSKIN LITHE LUMINOUS REPAIR HAIR ELIXIR - JASMINE"/>
    <hyperlink ref="L13" location="'第十款成分'!A1" display="ICE LERSKIN 护发精油 (薰衣草)-紫色 / ICE LERSKIN LITHE LUMINOUS REPAIR HAIR ELIXIR - LAVENDER"/>
    <hyperlink ref="M13" location="'第十一款成分'!A1" display="ICE LERSKIN 护发精油 (桂花)-橙色 / ICE LERSKIN LITHE LUMINOUS REPAIR HAIR ELIXIR - OSMANTHUS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opLeftCell="A8" workbookViewId="0">
      <selection activeCell="B4" sqref="B4"/>
    </sheetView>
  </sheetViews>
  <sheetFormatPr defaultColWidth="9" defaultRowHeight="13.5" outlineLevelCol="7"/>
  <cols>
    <col min="1" max="1" width="9" style="1" customWidth="1"/>
    <col min="2" max="2" width="23" style="1" customWidth="1"/>
    <col min="3" max="3" width="25.375" style="1" customWidth="1"/>
    <col min="4" max="4" width="9" style="1" customWidth="1"/>
    <col min="5" max="5" width="16.5083333333333" style="1" customWidth="1"/>
    <col min="6" max="6" width="16.125" style="1" customWidth="1"/>
    <col min="7" max="7" width="17.625" style="1" customWidth="1"/>
    <col min="8" max="8" width="16.625" style="1" customWidth="1"/>
  </cols>
  <sheetData>
    <row r="1" ht="30" customHeight="1" spans="1:8">
      <c r="A1" s="2" t="s">
        <v>58</v>
      </c>
    </row>
    <row r="2" ht="24" customHeight="1" spans="1:8">
      <c r="A2" s="3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ht="28.5" customHeight="1" spans="1:8">
      <c r="A3" s="60">
        <v>1</v>
      </c>
      <c r="B3" s="61" t="s">
        <v>67</v>
      </c>
      <c r="C3" s="61" t="s">
        <v>68</v>
      </c>
      <c r="D3" s="62">
        <f>100-SUM(D4:D43)</f>
        <v>63.622</v>
      </c>
      <c r="E3" s="62">
        <v>100</v>
      </c>
      <c r="F3" s="62">
        <f>100-SUM(F4:F43)</f>
        <v>63.622</v>
      </c>
      <c r="G3" s="9" t="s">
        <v>69</v>
      </c>
      <c r="H3" s="29" t="s">
        <v>70</v>
      </c>
    </row>
    <row r="4" ht="19" customHeight="1" spans="1:8">
      <c r="A4" s="64">
        <v>2</v>
      </c>
      <c r="B4" s="28" t="s">
        <v>71</v>
      </c>
      <c r="C4" s="28" t="s">
        <v>72</v>
      </c>
      <c r="D4" s="9">
        <v>7</v>
      </c>
      <c r="E4" s="9">
        <v>100</v>
      </c>
      <c r="F4" s="9">
        <v>7</v>
      </c>
      <c r="G4" s="9" t="s">
        <v>73</v>
      </c>
      <c r="H4" s="10" t="s">
        <v>74</v>
      </c>
    </row>
    <row r="5" ht="19" customHeight="1" spans="1:8">
      <c r="A5" s="64">
        <v>3</v>
      </c>
      <c r="B5" s="28" t="s">
        <v>75</v>
      </c>
      <c r="C5" s="28" t="s">
        <v>76</v>
      </c>
      <c r="D5" s="9">
        <v>7</v>
      </c>
      <c r="E5" s="9">
        <v>100</v>
      </c>
      <c r="F5" s="9">
        <v>7</v>
      </c>
      <c r="G5" s="9" t="s">
        <v>73</v>
      </c>
      <c r="H5" s="29" t="s">
        <v>77</v>
      </c>
    </row>
    <row r="6" ht="19" customHeight="1" spans="1:8">
      <c r="A6" s="64">
        <v>4</v>
      </c>
      <c r="B6" s="28" t="s">
        <v>78</v>
      </c>
      <c r="C6" s="28" t="s">
        <v>79</v>
      </c>
      <c r="D6" s="9">
        <v>7</v>
      </c>
      <c r="E6" s="9">
        <v>100</v>
      </c>
      <c r="F6" s="9">
        <v>7</v>
      </c>
      <c r="G6" s="9" t="s">
        <v>73</v>
      </c>
      <c r="H6" s="29" t="s">
        <v>80</v>
      </c>
    </row>
    <row r="7" ht="21" customHeight="1" spans="1:8">
      <c r="A7" s="64">
        <v>5</v>
      </c>
      <c r="B7" s="28" t="s">
        <v>81</v>
      </c>
      <c r="C7" s="28" t="s">
        <v>82</v>
      </c>
      <c r="D7" s="9">
        <v>7</v>
      </c>
      <c r="E7" s="9">
        <v>100</v>
      </c>
      <c r="F7" s="9">
        <v>7</v>
      </c>
      <c r="G7" s="9" t="s">
        <v>73</v>
      </c>
      <c r="H7" s="29" t="s">
        <v>83</v>
      </c>
    </row>
    <row r="8" ht="19" customHeight="1" spans="1:8">
      <c r="A8" s="64">
        <v>6</v>
      </c>
      <c r="B8" s="28" t="s">
        <v>84</v>
      </c>
      <c r="C8" s="28" t="s">
        <v>85</v>
      </c>
      <c r="D8" s="9">
        <v>3</v>
      </c>
      <c r="E8" s="9">
        <v>100</v>
      </c>
      <c r="F8" s="9">
        <v>3</v>
      </c>
      <c r="G8" s="9" t="s">
        <v>86</v>
      </c>
      <c r="H8" s="29" t="s">
        <v>87</v>
      </c>
    </row>
    <row r="9" ht="19" customHeight="1" spans="1:8">
      <c r="A9" s="64">
        <v>7</v>
      </c>
      <c r="B9" s="28" t="s">
        <v>88</v>
      </c>
      <c r="C9" s="28" t="s">
        <v>89</v>
      </c>
      <c r="D9" s="9">
        <v>2</v>
      </c>
      <c r="E9" s="9">
        <v>100</v>
      </c>
      <c r="F9" s="9">
        <v>2</v>
      </c>
      <c r="G9" s="9" t="s">
        <v>86</v>
      </c>
      <c r="H9" s="10" t="s">
        <v>90</v>
      </c>
    </row>
    <row r="10" ht="19" customHeight="1" spans="1:8">
      <c r="A10" s="64">
        <v>8</v>
      </c>
      <c r="B10" s="28" t="s">
        <v>91</v>
      </c>
      <c r="C10" s="28" t="s">
        <v>92</v>
      </c>
      <c r="D10" s="9">
        <v>0.5</v>
      </c>
      <c r="E10" s="9">
        <v>100</v>
      </c>
      <c r="F10" s="9">
        <v>0.5</v>
      </c>
      <c r="G10" s="9" t="s">
        <v>93</v>
      </c>
      <c r="H10" s="10" t="s">
        <v>94</v>
      </c>
    </row>
    <row r="11" ht="19" customHeight="1" spans="1:8">
      <c r="A11" s="64">
        <v>9</v>
      </c>
      <c r="B11" s="28" t="s">
        <v>95</v>
      </c>
      <c r="C11" s="28" t="s">
        <v>96</v>
      </c>
      <c r="D11" s="9">
        <v>0.11</v>
      </c>
      <c r="E11" s="9">
        <v>100</v>
      </c>
      <c r="F11" s="9">
        <v>0.11</v>
      </c>
      <c r="G11" s="9" t="s">
        <v>73</v>
      </c>
      <c r="H11" s="10" t="s">
        <v>97</v>
      </c>
    </row>
    <row r="12" ht="19" customHeight="1" spans="1:8">
      <c r="A12" s="64">
        <v>10</v>
      </c>
      <c r="B12" s="28" t="s">
        <v>98</v>
      </c>
      <c r="C12" s="28" t="s">
        <v>99</v>
      </c>
      <c r="D12" s="9">
        <v>0.2</v>
      </c>
      <c r="E12" s="9">
        <v>100</v>
      </c>
      <c r="F12" s="9">
        <v>0.2</v>
      </c>
      <c r="G12" s="9" t="s">
        <v>73</v>
      </c>
      <c r="H12" s="10" t="s">
        <v>100</v>
      </c>
    </row>
    <row r="13" ht="21" customHeight="1" spans="1:8">
      <c r="A13" s="64">
        <v>11</v>
      </c>
      <c r="B13" s="28" t="s">
        <v>101</v>
      </c>
      <c r="C13" s="28" t="s">
        <v>102</v>
      </c>
      <c r="D13" s="9">
        <v>0.15</v>
      </c>
      <c r="E13" s="9">
        <v>100</v>
      </c>
      <c r="F13" s="9">
        <v>0.15</v>
      </c>
      <c r="G13" s="9" t="s">
        <v>73</v>
      </c>
      <c r="H13" s="29" t="s">
        <v>103</v>
      </c>
    </row>
    <row r="14" ht="19" customHeight="1" spans="1:8">
      <c r="A14" s="64">
        <v>12</v>
      </c>
      <c r="B14" s="28" t="s">
        <v>104</v>
      </c>
      <c r="C14" s="28" t="s">
        <v>105</v>
      </c>
      <c r="D14" s="9">
        <v>0.11</v>
      </c>
      <c r="E14" s="9">
        <v>100</v>
      </c>
      <c r="F14" s="9">
        <v>0.11</v>
      </c>
      <c r="G14" s="9" t="s">
        <v>73</v>
      </c>
      <c r="H14" s="29" t="s">
        <v>106</v>
      </c>
    </row>
    <row r="15" spans="1:8">
      <c r="A15" s="64">
        <v>13</v>
      </c>
      <c r="B15" s="28" t="s">
        <v>107</v>
      </c>
      <c r="C15" s="28" t="s">
        <v>108</v>
      </c>
      <c r="D15" s="9">
        <v>0.11</v>
      </c>
      <c r="E15" s="9">
        <v>100</v>
      </c>
      <c r="F15" s="9">
        <v>0.11</v>
      </c>
      <c r="G15" s="9" t="s">
        <v>73</v>
      </c>
      <c r="H15" s="29" t="s">
        <v>109</v>
      </c>
    </row>
    <row r="16" spans="1:8">
      <c r="A16" s="64">
        <v>14</v>
      </c>
      <c r="B16" s="28" t="s">
        <v>110</v>
      </c>
      <c r="C16" s="28" t="s">
        <v>111</v>
      </c>
      <c r="D16" s="9">
        <v>0.11</v>
      </c>
      <c r="E16" s="9">
        <v>100</v>
      </c>
      <c r="F16" s="9">
        <v>0.11</v>
      </c>
      <c r="G16" s="9" t="s">
        <v>73</v>
      </c>
      <c r="H16" s="10" t="s">
        <v>112</v>
      </c>
    </row>
    <row r="17" spans="1:8">
      <c r="A17" s="64">
        <v>15</v>
      </c>
      <c r="B17" s="28" t="s">
        <v>113</v>
      </c>
      <c r="C17" s="28" t="s">
        <v>114</v>
      </c>
      <c r="D17" s="9">
        <v>0.2</v>
      </c>
      <c r="E17" s="9">
        <v>100</v>
      </c>
      <c r="F17" s="9">
        <v>0.2</v>
      </c>
      <c r="G17" s="9" t="s">
        <v>73</v>
      </c>
      <c r="H17" s="29" t="s">
        <v>115</v>
      </c>
    </row>
    <row r="18" spans="1:8">
      <c r="A18" s="64">
        <v>16</v>
      </c>
      <c r="B18" s="28" t="s">
        <v>116</v>
      </c>
      <c r="C18" s="28" t="s">
        <v>117</v>
      </c>
      <c r="D18" s="9">
        <v>0.1</v>
      </c>
      <c r="E18" s="9">
        <v>100</v>
      </c>
      <c r="F18" s="9">
        <v>0.1</v>
      </c>
      <c r="G18" s="9" t="s">
        <v>73</v>
      </c>
      <c r="H18" s="29" t="s">
        <v>118</v>
      </c>
    </row>
    <row r="19" spans="1:8">
      <c r="A19" s="64">
        <v>17</v>
      </c>
      <c r="B19" s="28" t="s">
        <v>119</v>
      </c>
      <c r="C19" s="28" t="s">
        <v>120</v>
      </c>
      <c r="D19" s="9">
        <v>0.125</v>
      </c>
      <c r="E19" s="9">
        <v>100</v>
      </c>
      <c r="F19" s="9">
        <v>0.125</v>
      </c>
      <c r="G19" s="9" t="s">
        <v>73</v>
      </c>
      <c r="H19" s="29" t="s">
        <v>121</v>
      </c>
    </row>
    <row r="20" spans="1:8">
      <c r="A20" s="64">
        <v>18</v>
      </c>
      <c r="B20" s="28" t="s">
        <v>122</v>
      </c>
      <c r="C20" s="28" t="s">
        <v>123</v>
      </c>
      <c r="D20" s="9">
        <v>0.11</v>
      </c>
      <c r="E20" s="9">
        <v>100</v>
      </c>
      <c r="F20" s="9">
        <v>0.11</v>
      </c>
      <c r="G20" s="9" t="s">
        <v>73</v>
      </c>
      <c r="H20" s="29" t="s">
        <v>124</v>
      </c>
    </row>
    <row r="21" spans="1:8">
      <c r="A21" s="64">
        <v>19</v>
      </c>
      <c r="B21" s="28" t="s">
        <v>125</v>
      </c>
      <c r="C21" s="28" t="s">
        <v>126</v>
      </c>
      <c r="D21" s="9">
        <v>0.214</v>
      </c>
      <c r="E21" s="9">
        <v>100</v>
      </c>
      <c r="F21" s="9">
        <v>0.214</v>
      </c>
      <c r="G21" s="9" t="s">
        <v>73</v>
      </c>
      <c r="H21" s="29" t="s">
        <v>127</v>
      </c>
    </row>
    <row r="22" spans="1:8">
      <c r="A22" s="64">
        <v>20</v>
      </c>
      <c r="B22" s="28" t="s">
        <v>128</v>
      </c>
      <c r="C22" s="28" t="s">
        <v>129</v>
      </c>
      <c r="D22" s="9">
        <v>0.125</v>
      </c>
      <c r="E22" s="9">
        <v>100</v>
      </c>
      <c r="F22" s="9">
        <v>0.125</v>
      </c>
      <c r="G22" s="9" t="s">
        <v>73</v>
      </c>
      <c r="H22" s="29" t="s">
        <v>130</v>
      </c>
    </row>
    <row r="23" spans="1:8">
      <c r="A23" s="64">
        <v>21</v>
      </c>
      <c r="B23" s="28" t="s">
        <v>131</v>
      </c>
      <c r="C23" s="28" t="s">
        <v>132</v>
      </c>
      <c r="D23" s="9">
        <v>0.11</v>
      </c>
      <c r="E23" s="9">
        <v>100</v>
      </c>
      <c r="F23" s="9">
        <v>0.11</v>
      </c>
      <c r="G23" s="9" t="s">
        <v>73</v>
      </c>
      <c r="H23" s="29" t="s">
        <v>133</v>
      </c>
    </row>
    <row r="24" spans="1:8">
      <c r="A24" s="64">
        <v>22</v>
      </c>
      <c r="B24" s="28" t="s">
        <v>134</v>
      </c>
      <c r="C24" s="28" t="s">
        <v>135</v>
      </c>
      <c r="D24" s="9">
        <v>0.11</v>
      </c>
      <c r="E24" s="9">
        <v>100</v>
      </c>
      <c r="F24" s="9">
        <v>0.11</v>
      </c>
      <c r="G24" s="9" t="s">
        <v>73</v>
      </c>
      <c r="H24" s="29" t="s">
        <v>136</v>
      </c>
    </row>
    <row r="25" spans="1:8">
      <c r="A25" s="64">
        <v>23</v>
      </c>
      <c r="B25" s="28" t="s">
        <v>137</v>
      </c>
      <c r="C25" s="28" t="s">
        <v>138</v>
      </c>
      <c r="D25" s="9">
        <v>0.11</v>
      </c>
      <c r="E25" s="9">
        <v>100</v>
      </c>
      <c r="F25" s="9">
        <v>0.11</v>
      </c>
      <c r="G25" s="9" t="s">
        <v>73</v>
      </c>
      <c r="H25" s="29" t="s">
        <v>139</v>
      </c>
    </row>
    <row r="26" spans="1:8">
      <c r="A26" s="64">
        <v>24</v>
      </c>
      <c r="B26" s="28" t="s">
        <v>140</v>
      </c>
      <c r="C26" s="28" t="s">
        <v>141</v>
      </c>
      <c r="D26" s="9">
        <v>0.15</v>
      </c>
      <c r="E26" s="9">
        <v>100</v>
      </c>
      <c r="F26" s="9">
        <v>0.15</v>
      </c>
      <c r="G26" s="9" t="s">
        <v>73</v>
      </c>
      <c r="H26" s="29" t="s">
        <v>142</v>
      </c>
    </row>
    <row r="27" spans="1:8">
      <c r="A27" s="64">
        <v>25</v>
      </c>
      <c r="B27" s="28" t="s">
        <v>143</v>
      </c>
      <c r="C27" s="28" t="s">
        <v>144</v>
      </c>
      <c r="D27" s="9">
        <v>0.12</v>
      </c>
      <c r="E27" s="9">
        <v>100</v>
      </c>
      <c r="F27" s="9">
        <v>0.12</v>
      </c>
      <c r="G27" s="9" t="s">
        <v>73</v>
      </c>
      <c r="H27" s="29" t="s">
        <v>145</v>
      </c>
    </row>
    <row r="28" spans="1:8">
      <c r="A28" s="64">
        <v>26</v>
      </c>
      <c r="B28" s="28" t="s">
        <v>146</v>
      </c>
      <c r="C28" s="28" t="s">
        <v>147</v>
      </c>
      <c r="D28" s="9">
        <v>0.2</v>
      </c>
      <c r="E28" s="9">
        <v>100</v>
      </c>
      <c r="F28" s="9">
        <v>0.2</v>
      </c>
      <c r="G28" s="9" t="s">
        <v>73</v>
      </c>
      <c r="H28" s="29" t="s">
        <v>148</v>
      </c>
    </row>
    <row r="29" spans="1:8">
      <c r="A29" s="64">
        <v>27</v>
      </c>
      <c r="B29" s="28" t="s">
        <v>149</v>
      </c>
      <c r="C29" s="28" t="s">
        <v>150</v>
      </c>
      <c r="D29" s="9">
        <v>0.02</v>
      </c>
      <c r="E29" s="9">
        <v>100</v>
      </c>
      <c r="F29" s="9">
        <v>0.02</v>
      </c>
      <c r="G29" s="9" t="s">
        <v>73</v>
      </c>
      <c r="H29" s="29" t="s">
        <v>151</v>
      </c>
    </row>
    <row r="30" spans="1:8">
      <c r="A30" s="64">
        <v>28</v>
      </c>
      <c r="B30" s="28" t="s">
        <v>152</v>
      </c>
      <c r="C30" s="28" t="s">
        <v>153</v>
      </c>
      <c r="D30" s="9">
        <v>0.014</v>
      </c>
      <c r="E30" s="9">
        <v>100</v>
      </c>
      <c r="F30" s="9">
        <v>0.014</v>
      </c>
      <c r="G30" s="9" t="s">
        <v>73</v>
      </c>
      <c r="H30" s="10" t="s">
        <v>154</v>
      </c>
    </row>
    <row r="31" spans="1:8">
      <c r="A31" s="64">
        <v>29</v>
      </c>
      <c r="B31" s="28" t="s">
        <v>155</v>
      </c>
      <c r="C31" s="28" t="s">
        <v>156</v>
      </c>
      <c r="D31" s="9">
        <v>0.05</v>
      </c>
      <c r="E31" s="9">
        <v>100</v>
      </c>
      <c r="F31" s="9">
        <v>0.05</v>
      </c>
      <c r="G31" s="9" t="s">
        <v>86</v>
      </c>
      <c r="H31" s="10" t="s">
        <v>157</v>
      </c>
    </row>
    <row r="32" spans="1:8">
      <c r="A32" s="64">
        <v>30</v>
      </c>
      <c r="B32" s="28" t="s">
        <v>158</v>
      </c>
      <c r="C32" s="28" t="s">
        <v>159</v>
      </c>
      <c r="D32" s="9">
        <v>0.03</v>
      </c>
      <c r="E32" s="9">
        <v>100</v>
      </c>
      <c r="F32" s="9">
        <v>0.03</v>
      </c>
      <c r="G32" s="9" t="s">
        <v>73</v>
      </c>
      <c r="H32" s="10" t="s">
        <v>160</v>
      </c>
    </row>
    <row r="33" spans="1:8">
      <c r="A33" s="64">
        <v>31</v>
      </c>
      <c r="B33" s="28" t="s">
        <v>161</v>
      </c>
      <c r="C33" s="28" t="s">
        <v>162</v>
      </c>
      <c r="D33" s="9">
        <v>0.01</v>
      </c>
      <c r="E33" s="9">
        <v>100</v>
      </c>
      <c r="F33" s="9">
        <v>0.01</v>
      </c>
      <c r="G33" s="9" t="s">
        <v>73</v>
      </c>
      <c r="H33" s="10" t="s">
        <v>163</v>
      </c>
    </row>
    <row r="34" spans="1:8">
      <c r="A34" s="64">
        <v>32</v>
      </c>
      <c r="B34" s="28" t="s">
        <v>164</v>
      </c>
      <c r="C34" s="28" t="s">
        <v>165</v>
      </c>
      <c r="D34" s="9">
        <v>0.1</v>
      </c>
      <c r="E34" s="9">
        <v>100</v>
      </c>
      <c r="F34" s="9">
        <v>0.1</v>
      </c>
      <c r="G34" s="9" t="s">
        <v>73</v>
      </c>
      <c r="H34" s="29" t="s">
        <v>166</v>
      </c>
    </row>
    <row r="35" spans="1:8">
      <c r="A35" s="64">
        <v>33</v>
      </c>
      <c r="B35" s="28" t="s">
        <v>167</v>
      </c>
      <c r="C35" s="28" t="s">
        <v>168</v>
      </c>
      <c r="D35" s="9">
        <v>0.02</v>
      </c>
      <c r="E35" s="9">
        <v>100</v>
      </c>
      <c r="F35" s="9">
        <v>0.02</v>
      </c>
      <c r="G35" s="9" t="s">
        <v>169</v>
      </c>
      <c r="H35" s="10" t="s">
        <v>170</v>
      </c>
    </row>
    <row r="36" spans="1:8">
      <c r="A36" s="64">
        <v>34</v>
      </c>
      <c r="B36" s="28" t="s">
        <v>171</v>
      </c>
      <c r="C36" s="28" t="s">
        <v>172</v>
      </c>
      <c r="D36" s="9">
        <v>0.04</v>
      </c>
      <c r="E36" s="9">
        <v>100</v>
      </c>
      <c r="F36" s="9">
        <v>0.04</v>
      </c>
      <c r="G36" s="9" t="s">
        <v>73</v>
      </c>
      <c r="H36" s="10" t="s">
        <v>173</v>
      </c>
    </row>
    <row r="37" ht="21" customHeight="1" spans="1:8">
      <c r="A37" s="64">
        <v>35</v>
      </c>
      <c r="B37" s="28" t="s">
        <v>174</v>
      </c>
      <c r="C37" s="28" t="s">
        <v>175</v>
      </c>
      <c r="D37" s="9">
        <v>0.01</v>
      </c>
      <c r="E37" s="9">
        <v>100</v>
      </c>
      <c r="F37" s="9">
        <v>0.01</v>
      </c>
      <c r="G37" s="9" t="s">
        <v>73</v>
      </c>
      <c r="H37" s="29" t="s">
        <v>176</v>
      </c>
    </row>
    <row r="38" spans="1:8">
      <c r="A38" s="64">
        <v>36</v>
      </c>
      <c r="B38" s="28" t="s">
        <v>177</v>
      </c>
      <c r="C38" s="28" t="s">
        <v>178</v>
      </c>
      <c r="D38" s="9">
        <v>0.01</v>
      </c>
      <c r="E38" s="9">
        <v>100</v>
      </c>
      <c r="F38" s="9">
        <v>0.01</v>
      </c>
      <c r="G38" s="9" t="s">
        <v>179</v>
      </c>
      <c r="H38" s="10" t="s">
        <v>180</v>
      </c>
    </row>
    <row r="39" spans="1:8">
      <c r="A39" s="64">
        <v>37</v>
      </c>
      <c r="B39" s="28" t="s">
        <v>181</v>
      </c>
      <c r="C39" s="28" t="s">
        <v>182</v>
      </c>
      <c r="D39" s="9">
        <v>0.01</v>
      </c>
      <c r="E39" s="9">
        <v>100</v>
      </c>
      <c r="F39" s="9">
        <v>0.01</v>
      </c>
      <c r="G39" s="9" t="s">
        <v>73</v>
      </c>
      <c r="H39" s="10" t="s">
        <v>183</v>
      </c>
    </row>
    <row r="40" spans="1:8">
      <c r="A40" s="64">
        <v>38</v>
      </c>
      <c r="B40" s="28" t="s">
        <v>184</v>
      </c>
      <c r="C40" s="28" t="s">
        <v>185</v>
      </c>
      <c r="D40" s="9">
        <v>0.05</v>
      </c>
      <c r="E40" s="9">
        <v>100</v>
      </c>
      <c r="F40" s="9">
        <v>0.05</v>
      </c>
      <c r="G40" s="9" t="s">
        <v>186</v>
      </c>
      <c r="H40" s="29" t="s">
        <v>187</v>
      </c>
    </row>
    <row r="41" spans="1:8">
      <c r="A41" s="64">
        <v>39</v>
      </c>
      <c r="B41" s="28" t="s">
        <v>188</v>
      </c>
      <c r="C41" s="28" t="s">
        <v>189</v>
      </c>
      <c r="D41" s="9">
        <v>0.03</v>
      </c>
      <c r="E41" s="9">
        <v>100</v>
      </c>
      <c r="F41" s="9">
        <v>0.03</v>
      </c>
      <c r="G41" s="9" t="s">
        <v>186</v>
      </c>
      <c r="H41" s="10" t="s">
        <v>190</v>
      </c>
    </row>
    <row r="42" spans="1:8">
      <c r="A42" s="64">
        <v>40</v>
      </c>
      <c r="B42" s="28" t="s">
        <v>191</v>
      </c>
      <c r="C42" s="28" t="s">
        <v>192</v>
      </c>
      <c r="D42" s="9">
        <v>0.01</v>
      </c>
      <c r="E42" s="9">
        <v>100</v>
      </c>
      <c r="F42" s="9">
        <v>0.01</v>
      </c>
      <c r="G42" s="9" t="s">
        <v>86</v>
      </c>
      <c r="H42" s="10" t="s">
        <v>193</v>
      </c>
    </row>
    <row r="43" spans="1:8">
      <c r="A43" s="64">
        <v>41</v>
      </c>
      <c r="B43" s="28" t="s">
        <v>194</v>
      </c>
      <c r="C43" s="28" t="s">
        <v>195</v>
      </c>
      <c r="D43" s="9">
        <v>0.01</v>
      </c>
      <c r="E43" s="9">
        <v>100</v>
      </c>
      <c r="F43" s="9">
        <v>0.01</v>
      </c>
      <c r="G43" s="9" t="s">
        <v>86</v>
      </c>
      <c r="H43" s="10" t="s">
        <v>196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selection activeCell="B37" sqref="B37"/>
    </sheetView>
  </sheetViews>
  <sheetFormatPr defaultColWidth="9" defaultRowHeight="13.5" outlineLevelCol="7"/>
  <cols>
    <col min="1" max="1" width="9" style="1" customWidth="1"/>
    <col min="2" max="2" width="23" style="1" customWidth="1"/>
    <col min="3" max="3" width="25.375" style="1" customWidth="1"/>
    <col min="4" max="4" width="9" style="1" customWidth="1"/>
    <col min="5" max="5" width="16.5083333333333" style="1" customWidth="1"/>
    <col min="6" max="6" width="16.125" style="1" customWidth="1"/>
    <col min="7" max="7" width="17.625" style="1" customWidth="1"/>
    <col min="8" max="8" width="17.5083333333333" style="1" customWidth="1"/>
  </cols>
  <sheetData>
    <row r="1" ht="30" customHeight="1" spans="1:8">
      <c r="A1" s="2" t="s">
        <v>197</v>
      </c>
    </row>
    <row r="2" ht="24" customHeight="1" spans="1:8">
      <c r="A2" s="3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ht="14.25" customHeight="1" spans="1:8">
      <c r="A3" s="60">
        <v>1</v>
      </c>
      <c r="B3" s="61" t="s">
        <v>67</v>
      </c>
      <c r="C3" s="61" t="s">
        <v>68</v>
      </c>
      <c r="D3" s="63">
        <f>100-SUM(D4:D35)</f>
        <v>56.725</v>
      </c>
      <c r="E3" s="63">
        <v>100</v>
      </c>
      <c r="F3" s="63">
        <f>100-SUM(F4:F35)</f>
        <v>56.725</v>
      </c>
      <c r="G3" s="9" t="s">
        <v>69</v>
      </c>
      <c r="H3" s="70" t="s">
        <v>70</v>
      </c>
    </row>
    <row r="4" spans="1:8">
      <c r="A4" s="64">
        <v>2</v>
      </c>
      <c r="B4" s="28" t="s">
        <v>198</v>
      </c>
      <c r="C4" s="28" t="s">
        <v>199</v>
      </c>
      <c r="D4" s="29">
        <v>10</v>
      </c>
      <c r="E4" s="29">
        <v>100</v>
      </c>
      <c r="F4" s="29">
        <v>10</v>
      </c>
      <c r="G4" s="9" t="s">
        <v>73</v>
      </c>
      <c r="H4" s="71" t="s">
        <v>200</v>
      </c>
    </row>
    <row r="5" spans="1:8">
      <c r="A5" s="64">
        <v>3</v>
      </c>
      <c r="B5" s="28" t="s">
        <v>201</v>
      </c>
      <c r="C5" s="28" t="s">
        <v>202</v>
      </c>
      <c r="D5" s="29">
        <v>8</v>
      </c>
      <c r="E5" s="29">
        <v>100</v>
      </c>
      <c r="F5" s="29">
        <v>8</v>
      </c>
      <c r="G5" s="9" t="s">
        <v>73</v>
      </c>
      <c r="H5" s="71" t="s">
        <v>203</v>
      </c>
    </row>
    <row r="6" spans="1:8">
      <c r="A6" s="64">
        <v>4</v>
      </c>
      <c r="B6" s="28" t="s">
        <v>204</v>
      </c>
      <c r="C6" s="28" t="s">
        <v>205</v>
      </c>
      <c r="D6" s="29">
        <v>5</v>
      </c>
      <c r="E6" s="29">
        <v>100</v>
      </c>
      <c r="F6" s="29">
        <v>5</v>
      </c>
      <c r="G6" s="9" t="s">
        <v>73</v>
      </c>
      <c r="H6" s="70" t="s">
        <v>206</v>
      </c>
    </row>
    <row r="7" spans="1:8">
      <c r="A7" s="64">
        <v>5</v>
      </c>
      <c r="B7" s="28" t="s">
        <v>207</v>
      </c>
      <c r="C7" s="28" t="s">
        <v>208</v>
      </c>
      <c r="D7" s="29">
        <v>5</v>
      </c>
      <c r="E7" s="29">
        <v>100</v>
      </c>
      <c r="F7" s="29">
        <v>5</v>
      </c>
      <c r="G7" s="9" t="s">
        <v>86</v>
      </c>
      <c r="H7" s="71" t="s">
        <v>209</v>
      </c>
    </row>
    <row r="8" spans="1:8">
      <c r="A8" s="64">
        <v>6</v>
      </c>
      <c r="B8" s="28" t="s">
        <v>210</v>
      </c>
      <c r="C8" s="28" t="s">
        <v>211</v>
      </c>
      <c r="D8" s="29">
        <v>5</v>
      </c>
      <c r="E8" s="29">
        <v>100</v>
      </c>
      <c r="F8" s="29">
        <v>5</v>
      </c>
      <c r="G8" s="9" t="s">
        <v>212</v>
      </c>
      <c r="H8" s="70" t="s">
        <v>213</v>
      </c>
    </row>
    <row r="9" spans="1:8">
      <c r="A9" s="64">
        <v>7</v>
      </c>
      <c r="B9" s="28" t="s">
        <v>88</v>
      </c>
      <c r="C9" s="28" t="s">
        <v>89</v>
      </c>
      <c r="D9" s="29">
        <v>3</v>
      </c>
      <c r="E9" s="29">
        <v>100</v>
      </c>
      <c r="F9" s="29">
        <v>3</v>
      </c>
      <c r="G9" s="9" t="s">
        <v>86</v>
      </c>
      <c r="H9" s="71" t="s">
        <v>90</v>
      </c>
    </row>
    <row r="10" spans="1:8">
      <c r="A10" s="64">
        <v>8</v>
      </c>
      <c r="B10" s="28" t="s">
        <v>214</v>
      </c>
      <c r="C10" s="28" t="s">
        <v>215</v>
      </c>
      <c r="D10" s="29">
        <v>0.1</v>
      </c>
      <c r="E10" s="29">
        <v>100</v>
      </c>
      <c r="F10" s="29">
        <v>0.1</v>
      </c>
      <c r="G10" s="9" t="s">
        <v>73</v>
      </c>
      <c r="H10" s="71" t="s">
        <v>216</v>
      </c>
    </row>
    <row r="11" spans="1:8">
      <c r="A11" s="64">
        <v>9</v>
      </c>
      <c r="B11" s="28" t="s">
        <v>217</v>
      </c>
      <c r="C11" s="28" t="s">
        <v>218</v>
      </c>
      <c r="D11" s="29">
        <v>2</v>
      </c>
      <c r="E11" s="29">
        <v>100</v>
      </c>
      <c r="F11" s="29">
        <v>2</v>
      </c>
      <c r="G11" s="9" t="s">
        <v>73</v>
      </c>
      <c r="H11" s="71" t="s">
        <v>219</v>
      </c>
    </row>
    <row r="12" spans="1:8">
      <c r="A12" s="64">
        <v>10</v>
      </c>
      <c r="B12" s="28" t="s">
        <v>220</v>
      </c>
      <c r="C12" s="28" t="s">
        <v>221</v>
      </c>
      <c r="D12" s="29">
        <v>0.2</v>
      </c>
      <c r="E12" s="29">
        <v>100</v>
      </c>
      <c r="F12" s="29">
        <v>0.2</v>
      </c>
      <c r="G12" s="9" t="s">
        <v>73</v>
      </c>
      <c r="H12" s="71" t="s">
        <v>222</v>
      </c>
    </row>
    <row r="13" spans="1:8">
      <c r="A13" s="64">
        <v>11</v>
      </c>
      <c r="B13" s="28" t="s">
        <v>223</v>
      </c>
      <c r="C13" s="28" t="s">
        <v>224</v>
      </c>
      <c r="D13" s="29">
        <v>0.2</v>
      </c>
      <c r="E13" s="29">
        <v>100</v>
      </c>
      <c r="F13" s="29">
        <v>0.2</v>
      </c>
      <c r="G13" s="9" t="s">
        <v>73</v>
      </c>
      <c r="H13" s="71" t="s">
        <v>225</v>
      </c>
    </row>
    <row r="14" spans="1:8">
      <c r="A14" s="64">
        <v>12</v>
      </c>
      <c r="B14" s="28" t="s">
        <v>226</v>
      </c>
      <c r="C14" s="28" t="s">
        <v>227</v>
      </c>
      <c r="D14" s="29">
        <v>1.5</v>
      </c>
      <c r="E14" s="29">
        <v>100</v>
      </c>
      <c r="F14" s="29">
        <v>1.5</v>
      </c>
      <c r="G14" s="9" t="s">
        <v>169</v>
      </c>
      <c r="H14" s="70" t="s">
        <v>228</v>
      </c>
    </row>
    <row r="15" spans="1:8">
      <c r="A15" s="64">
        <v>13</v>
      </c>
      <c r="B15" s="28" t="s">
        <v>191</v>
      </c>
      <c r="C15" s="28" t="s">
        <v>192</v>
      </c>
      <c r="D15" s="29">
        <v>0.5</v>
      </c>
      <c r="E15" s="29">
        <v>100</v>
      </c>
      <c r="F15" s="29">
        <v>0.5</v>
      </c>
      <c r="G15" s="9" t="s">
        <v>86</v>
      </c>
      <c r="H15" s="71" t="s">
        <v>193</v>
      </c>
    </row>
    <row r="16" spans="1:8">
      <c r="A16" s="64">
        <v>14</v>
      </c>
      <c r="B16" s="28" t="s">
        <v>229</v>
      </c>
      <c r="C16" s="28" t="s">
        <v>230</v>
      </c>
      <c r="D16" s="29">
        <v>0.5</v>
      </c>
      <c r="E16" s="29">
        <v>100</v>
      </c>
      <c r="F16" s="29">
        <v>0.5</v>
      </c>
      <c r="G16" s="9" t="s">
        <v>73</v>
      </c>
      <c r="H16" s="71" t="s">
        <v>231</v>
      </c>
    </row>
    <row r="17" spans="1:8">
      <c r="A17" s="64">
        <v>15</v>
      </c>
      <c r="B17" s="28" t="s">
        <v>177</v>
      </c>
      <c r="C17" s="28" t="s">
        <v>178</v>
      </c>
      <c r="D17" s="29">
        <v>0.6</v>
      </c>
      <c r="E17" s="29">
        <v>100</v>
      </c>
      <c r="F17" s="29">
        <v>0.6</v>
      </c>
      <c r="G17" s="9" t="s">
        <v>179</v>
      </c>
      <c r="H17" s="71" t="s">
        <v>180</v>
      </c>
    </row>
    <row r="18" spans="1:8">
      <c r="A18" s="64">
        <v>16</v>
      </c>
      <c r="B18" s="28" t="s">
        <v>232</v>
      </c>
      <c r="C18" s="28" t="s">
        <v>233</v>
      </c>
      <c r="D18" s="29">
        <v>0.5</v>
      </c>
      <c r="E18" s="29">
        <v>100</v>
      </c>
      <c r="F18" s="29">
        <v>0.5</v>
      </c>
      <c r="G18" s="9" t="s">
        <v>86</v>
      </c>
      <c r="H18" s="70" t="s">
        <v>234</v>
      </c>
    </row>
    <row r="19" spans="1:8">
      <c r="A19" s="64">
        <v>17</v>
      </c>
      <c r="B19" s="28" t="s">
        <v>235</v>
      </c>
      <c r="C19" s="28" t="s">
        <v>236</v>
      </c>
      <c r="D19" s="29">
        <v>0.2</v>
      </c>
      <c r="E19" s="29">
        <v>100</v>
      </c>
      <c r="F19" s="29">
        <v>0.2</v>
      </c>
      <c r="G19" s="9" t="s">
        <v>73</v>
      </c>
      <c r="H19" s="70" t="s">
        <v>237</v>
      </c>
    </row>
    <row r="20" ht="21" customHeight="1" spans="1:8">
      <c r="A20" s="64">
        <v>18</v>
      </c>
      <c r="B20" s="28" t="s">
        <v>238</v>
      </c>
      <c r="C20" s="28" t="s">
        <v>239</v>
      </c>
      <c r="D20" s="29">
        <v>0.15</v>
      </c>
      <c r="E20" s="29">
        <v>100</v>
      </c>
      <c r="F20" s="29">
        <v>0.15</v>
      </c>
      <c r="G20" s="9" t="s">
        <v>73</v>
      </c>
      <c r="H20" s="70" t="s">
        <v>240</v>
      </c>
    </row>
    <row r="21" spans="1:8">
      <c r="A21" s="64">
        <v>19</v>
      </c>
      <c r="B21" s="28" t="s">
        <v>241</v>
      </c>
      <c r="C21" s="28" t="s">
        <v>242</v>
      </c>
      <c r="D21" s="29">
        <v>0.15</v>
      </c>
      <c r="E21" s="29">
        <v>100</v>
      </c>
      <c r="F21" s="29">
        <v>0.15</v>
      </c>
      <c r="G21" s="9" t="s">
        <v>73</v>
      </c>
      <c r="H21" s="70" t="s">
        <v>243</v>
      </c>
    </row>
    <row r="22" spans="1:8">
      <c r="A22" s="64">
        <v>20</v>
      </c>
      <c r="B22" s="28" t="s">
        <v>244</v>
      </c>
      <c r="C22" s="28" t="s">
        <v>245</v>
      </c>
      <c r="D22" s="29">
        <v>0.11</v>
      </c>
      <c r="E22" s="29">
        <v>100</v>
      </c>
      <c r="F22" s="29">
        <v>0.11</v>
      </c>
      <c r="G22" s="9" t="s">
        <v>86</v>
      </c>
      <c r="H22" s="70" t="s">
        <v>246</v>
      </c>
    </row>
    <row r="23" spans="1:8">
      <c r="A23" s="64">
        <v>21</v>
      </c>
      <c r="B23" s="28" t="s">
        <v>247</v>
      </c>
      <c r="C23" s="28" t="s">
        <v>248</v>
      </c>
      <c r="D23" s="29">
        <v>0.1</v>
      </c>
      <c r="E23" s="29">
        <v>100</v>
      </c>
      <c r="F23" s="29">
        <v>0.1</v>
      </c>
      <c r="G23" s="9" t="s">
        <v>86</v>
      </c>
      <c r="H23" s="70" t="s">
        <v>249</v>
      </c>
    </row>
    <row r="24" spans="1:8">
      <c r="A24" s="64">
        <v>22</v>
      </c>
      <c r="B24" s="28" t="s">
        <v>250</v>
      </c>
      <c r="C24" s="28" t="s">
        <v>251</v>
      </c>
      <c r="D24" s="29">
        <v>0.06</v>
      </c>
      <c r="E24" s="29">
        <v>100</v>
      </c>
      <c r="F24" s="29">
        <v>0.06</v>
      </c>
      <c r="G24" s="9" t="s">
        <v>73</v>
      </c>
      <c r="H24" s="70" t="s">
        <v>252</v>
      </c>
    </row>
    <row r="25" spans="1:8">
      <c r="A25" s="64">
        <v>23</v>
      </c>
      <c r="B25" s="28" t="s">
        <v>253</v>
      </c>
      <c r="C25" s="28" t="s">
        <v>254</v>
      </c>
      <c r="D25" s="29">
        <v>0.05</v>
      </c>
      <c r="E25" s="29">
        <v>100</v>
      </c>
      <c r="F25" s="29">
        <v>0.05</v>
      </c>
      <c r="G25" s="9" t="s">
        <v>73</v>
      </c>
      <c r="H25" s="71" t="s">
        <v>255</v>
      </c>
    </row>
    <row r="26" spans="1:8">
      <c r="A26" s="64">
        <v>24</v>
      </c>
      <c r="B26" s="28" t="s">
        <v>256</v>
      </c>
      <c r="C26" s="28" t="s">
        <v>257</v>
      </c>
      <c r="D26" s="29">
        <v>0.02</v>
      </c>
      <c r="E26" s="29">
        <v>100</v>
      </c>
      <c r="F26" s="29">
        <v>0.02</v>
      </c>
      <c r="G26" s="9" t="s">
        <v>73</v>
      </c>
      <c r="H26" s="70" t="s">
        <v>258</v>
      </c>
    </row>
    <row r="27" spans="1:8">
      <c r="A27" s="64">
        <v>25</v>
      </c>
      <c r="B27" s="28" t="s">
        <v>259</v>
      </c>
      <c r="C27" s="28" t="s">
        <v>260</v>
      </c>
      <c r="D27" s="29">
        <v>0.1</v>
      </c>
      <c r="E27" s="29">
        <v>100</v>
      </c>
      <c r="F27" s="29">
        <v>0.1</v>
      </c>
      <c r="G27" s="9" t="s">
        <v>73</v>
      </c>
      <c r="H27" s="70" t="s">
        <v>261</v>
      </c>
    </row>
    <row r="28" ht="21" customHeight="1" spans="1:8">
      <c r="A28" s="64">
        <v>26</v>
      </c>
      <c r="B28" s="28" t="s">
        <v>262</v>
      </c>
      <c r="C28" s="28" t="s">
        <v>263</v>
      </c>
      <c r="D28" s="29">
        <v>0.02</v>
      </c>
      <c r="E28" s="29">
        <v>100</v>
      </c>
      <c r="F28" s="29">
        <v>0.02</v>
      </c>
      <c r="G28" s="9" t="s">
        <v>73</v>
      </c>
      <c r="H28" s="70" t="s">
        <v>264</v>
      </c>
    </row>
    <row r="29" ht="21" customHeight="1" spans="1:8">
      <c r="A29" s="64">
        <v>27</v>
      </c>
      <c r="B29" s="28" t="s">
        <v>265</v>
      </c>
      <c r="C29" s="28" t="s">
        <v>266</v>
      </c>
      <c r="D29" s="29">
        <v>0.01</v>
      </c>
      <c r="E29" s="29">
        <v>100</v>
      </c>
      <c r="F29" s="29">
        <v>0.01</v>
      </c>
      <c r="G29" s="9" t="s">
        <v>73</v>
      </c>
      <c r="H29" s="71" t="s">
        <v>267</v>
      </c>
    </row>
    <row r="30" ht="21" customHeight="1" spans="1:8">
      <c r="A30" s="64">
        <v>28</v>
      </c>
      <c r="B30" s="28" t="s">
        <v>268</v>
      </c>
      <c r="C30" s="28" t="s">
        <v>269</v>
      </c>
      <c r="D30" s="29">
        <v>0.01</v>
      </c>
      <c r="E30" s="29">
        <v>100</v>
      </c>
      <c r="F30" s="29">
        <v>0.01</v>
      </c>
      <c r="G30" s="9" t="s">
        <v>73</v>
      </c>
      <c r="H30" s="71" t="s">
        <v>270</v>
      </c>
    </row>
    <row r="31" spans="1:8">
      <c r="A31" s="64">
        <v>29</v>
      </c>
      <c r="B31" s="28" t="s">
        <v>164</v>
      </c>
      <c r="C31" s="28" t="s">
        <v>165</v>
      </c>
      <c r="D31" s="29">
        <v>0.1</v>
      </c>
      <c r="E31" s="29">
        <v>100</v>
      </c>
      <c r="F31" s="29">
        <v>0.1</v>
      </c>
      <c r="G31" s="9" t="s">
        <v>73</v>
      </c>
      <c r="H31" s="70" t="s">
        <v>166</v>
      </c>
    </row>
    <row r="32" spans="1:8">
      <c r="A32" s="64">
        <v>30</v>
      </c>
      <c r="B32" s="28" t="s">
        <v>271</v>
      </c>
      <c r="C32" s="28" t="s">
        <v>272</v>
      </c>
      <c r="D32" s="29">
        <v>0.05</v>
      </c>
      <c r="E32" s="29">
        <v>100</v>
      </c>
      <c r="F32" s="29">
        <v>0.05</v>
      </c>
      <c r="G32" s="9" t="s">
        <v>273</v>
      </c>
      <c r="H32" s="70" t="s">
        <v>274</v>
      </c>
    </row>
    <row r="33" spans="1:8">
      <c r="A33" s="64">
        <v>31</v>
      </c>
      <c r="B33" s="28" t="s">
        <v>275</v>
      </c>
      <c r="C33" s="28" t="s">
        <v>276</v>
      </c>
      <c r="D33" s="29">
        <v>0.03</v>
      </c>
      <c r="E33" s="29">
        <v>100</v>
      </c>
      <c r="F33" s="29">
        <v>0.03</v>
      </c>
      <c r="G33" s="9" t="s">
        <v>86</v>
      </c>
      <c r="H33" s="71" t="s">
        <v>277</v>
      </c>
    </row>
    <row r="34" spans="1:8">
      <c r="A34" s="64">
        <v>32</v>
      </c>
      <c r="B34" s="28" t="s">
        <v>278</v>
      </c>
      <c r="C34" s="28" t="s">
        <v>279</v>
      </c>
      <c r="D34" s="29">
        <v>0.01</v>
      </c>
      <c r="E34" s="29">
        <v>100</v>
      </c>
      <c r="F34" s="29">
        <v>0.01</v>
      </c>
      <c r="G34" s="9" t="s">
        <v>73</v>
      </c>
      <c r="H34" s="70" t="s">
        <v>280</v>
      </c>
    </row>
    <row r="35" spans="1:8">
      <c r="A35" s="64">
        <v>33</v>
      </c>
      <c r="B35" s="28" t="s">
        <v>281</v>
      </c>
      <c r="C35" s="28" t="s">
        <v>282</v>
      </c>
      <c r="D35" s="29">
        <v>0.005</v>
      </c>
      <c r="E35" s="29">
        <v>100</v>
      </c>
      <c r="F35" s="29">
        <v>0.005</v>
      </c>
      <c r="G35" s="9" t="s">
        <v>283</v>
      </c>
      <c r="H35" s="70" t="s">
        <v>284</v>
      </c>
    </row>
  </sheetData>
  <mergeCells count="1">
    <mergeCell ref="A1:H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topLeftCell="A10" workbookViewId="0">
      <selection activeCell="H20" sqref="H20:H22"/>
    </sheetView>
  </sheetViews>
  <sheetFormatPr defaultColWidth="9" defaultRowHeight="13.5" outlineLevelCol="7"/>
  <cols>
    <col min="1" max="1" width="9" style="1" customWidth="1"/>
    <col min="2" max="2" width="23" style="1" customWidth="1"/>
    <col min="3" max="3" width="25.375" style="1" customWidth="1"/>
    <col min="4" max="4" width="9" style="1" customWidth="1"/>
    <col min="5" max="5" width="16.5" style="1" customWidth="1"/>
    <col min="6" max="6" width="16.125" style="1" customWidth="1"/>
    <col min="7" max="7" width="17.625" style="1" customWidth="1"/>
    <col min="8" max="8" width="9" style="1" customWidth="1"/>
  </cols>
  <sheetData>
    <row r="1" ht="30" customHeight="1" spans="1:8">
      <c r="A1" s="2" t="s">
        <v>285</v>
      </c>
    </row>
    <row r="2" ht="24" customHeight="1" spans="1:8">
      <c r="A2" s="3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ht="14.25" customHeight="1" spans="1:8">
      <c r="A3" s="5"/>
      <c r="B3" s="66" t="s">
        <v>67</v>
      </c>
      <c r="C3" s="67" t="s">
        <v>68</v>
      </c>
      <c r="D3" s="67">
        <v>60.475</v>
      </c>
      <c r="E3" s="67">
        <v>100</v>
      </c>
      <c r="F3" s="67">
        <v>60.475</v>
      </c>
      <c r="G3" s="68" t="s">
        <v>286</v>
      </c>
      <c r="H3" s="68" t="s">
        <v>287</v>
      </c>
    </row>
    <row r="4" spans="1:8">
      <c r="A4" s="11"/>
      <c r="B4" s="68" t="s">
        <v>288</v>
      </c>
      <c r="C4" s="68" t="s">
        <v>289</v>
      </c>
      <c r="D4" s="68">
        <v>12</v>
      </c>
      <c r="E4" s="68">
        <v>99</v>
      </c>
      <c r="F4" s="68">
        <v>11.88</v>
      </c>
      <c r="G4" s="68" t="s">
        <v>290</v>
      </c>
      <c r="H4" s="68" t="s">
        <v>291</v>
      </c>
    </row>
    <row r="5" spans="1:8">
      <c r="A5" s="11"/>
      <c r="B5" s="69" t="s">
        <v>67</v>
      </c>
      <c r="C5" s="68" t="s">
        <v>292</v>
      </c>
      <c r="D5" s="37"/>
      <c r="E5" s="68">
        <v>1</v>
      </c>
      <c r="F5" s="68">
        <v>0.12</v>
      </c>
      <c r="G5" s="37"/>
      <c r="H5" s="37"/>
    </row>
    <row r="6" ht="40.5" customHeight="1" spans="1:8">
      <c r="A6" s="11"/>
      <c r="B6" s="68" t="s">
        <v>88</v>
      </c>
      <c r="C6" s="68" t="s">
        <v>89</v>
      </c>
      <c r="D6" s="68">
        <v>8</v>
      </c>
      <c r="E6" s="68">
        <v>100</v>
      </c>
      <c r="F6" s="68">
        <v>8</v>
      </c>
      <c r="G6" s="68" t="s">
        <v>293</v>
      </c>
      <c r="H6" s="68" t="s">
        <v>294</v>
      </c>
    </row>
    <row r="7" ht="40.5" customHeight="1" spans="1:8">
      <c r="A7" s="11"/>
      <c r="B7" s="68" t="s">
        <v>295</v>
      </c>
      <c r="C7" s="68" t="s">
        <v>296</v>
      </c>
      <c r="D7" s="68">
        <v>4</v>
      </c>
      <c r="E7" s="68">
        <v>100</v>
      </c>
      <c r="F7" s="68">
        <v>4</v>
      </c>
      <c r="G7" s="68" t="s">
        <v>297</v>
      </c>
      <c r="H7" s="68" t="s">
        <v>298</v>
      </c>
    </row>
    <row r="8" ht="40.5" customHeight="1" spans="1:8">
      <c r="A8" s="11"/>
      <c r="B8" s="68" t="s">
        <v>299</v>
      </c>
      <c r="C8" s="68" t="s">
        <v>300</v>
      </c>
      <c r="D8" s="68">
        <v>3</v>
      </c>
      <c r="E8" s="68">
        <v>100</v>
      </c>
      <c r="F8" s="68">
        <v>3</v>
      </c>
      <c r="G8" s="68" t="s">
        <v>293</v>
      </c>
      <c r="H8" s="68" t="s">
        <v>301</v>
      </c>
    </row>
    <row r="9" ht="40.5" customHeight="1" spans="1:8">
      <c r="A9" s="11"/>
      <c r="B9" s="68" t="s">
        <v>302</v>
      </c>
      <c r="C9" s="68" t="s">
        <v>303</v>
      </c>
      <c r="D9" s="68">
        <v>3</v>
      </c>
      <c r="E9" s="68">
        <v>100</v>
      </c>
      <c r="F9" s="68">
        <v>3</v>
      </c>
      <c r="G9" s="68" t="s">
        <v>297</v>
      </c>
      <c r="H9" s="68" t="s">
        <v>304</v>
      </c>
    </row>
    <row r="10" ht="40.5" customHeight="1" spans="1:8">
      <c r="A10" s="11"/>
      <c r="B10" s="68" t="s">
        <v>305</v>
      </c>
      <c r="C10" s="68" t="s">
        <v>306</v>
      </c>
      <c r="D10" s="68">
        <v>2</v>
      </c>
      <c r="E10" s="68">
        <v>100</v>
      </c>
      <c r="F10" s="68">
        <v>2</v>
      </c>
      <c r="G10" s="68" t="s">
        <v>307</v>
      </c>
      <c r="H10" s="68" t="s">
        <v>308</v>
      </c>
    </row>
    <row r="11" spans="1:8">
      <c r="A11" s="11"/>
      <c r="B11" s="68" t="s">
        <v>309</v>
      </c>
      <c r="C11" s="68" t="s">
        <v>310</v>
      </c>
      <c r="D11" s="68">
        <v>2</v>
      </c>
      <c r="E11" s="68">
        <v>40</v>
      </c>
      <c r="F11" s="68">
        <v>0.8</v>
      </c>
      <c r="G11" s="68" t="s">
        <v>297</v>
      </c>
      <c r="H11" s="68" t="s">
        <v>311</v>
      </c>
    </row>
    <row r="12" spans="1:8">
      <c r="A12" s="11"/>
      <c r="B12" s="68" t="s">
        <v>312</v>
      </c>
      <c r="C12" s="68" t="s">
        <v>313</v>
      </c>
      <c r="D12" s="37"/>
      <c r="E12" s="68">
        <v>60</v>
      </c>
      <c r="F12" s="68">
        <v>1.2</v>
      </c>
      <c r="G12" s="37"/>
      <c r="H12" s="37"/>
    </row>
    <row r="13" spans="1:8">
      <c r="A13" s="11"/>
      <c r="B13" s="68" t="s">
        <v>314</v>
      </c>
      <c r="C13" s="68" t="s">
        <v>315</v>
      </c>
      <c r="D13" s="68">
        <v>1.5</v>
      </c>
      <c r="E13" s="68">
        <v>50</v>
      </c>
      <c r="F13" s="68">
        <v>0.75</v>
      </c>
      <c r="G13" s="68" t="s">
        <v>307</v>
      </c>
      <c r="H13" s="68" t="s">
        <v>316</v>
      </c>
    </row>
    <row r="14" spans="1:8">
      <c r="A14" s="11"/>
      <c r="B14" s="68" t="s">
        <v>317</v>
      </c>
      <c r="C14" s="68" t="s">
        <v>318</v>
      </c>
      <c r="D14" s="37"/>
      <c r="E14" s="68">
        <v>50</v>
      </c>
      <c r="F14" s="68">
        <v>0.75</v>
      </c>
      <c r="G14" s="37"/>
      <c r="H14" s="37"/>
    </row>
    <row r="15" ht="40.5" customHeight="1" spans="1:8">
      <c r="B15" s="68" t="s">
        <v>319</v>
      </c>
      <c r="C15" s="68" t="s">
        <v>320</v>
      </c>
      <c r="D15" s="68">
        <v>1</v>
      </c>
      <c r="E15" s="68">
        <v>100</v>
      </c>
      <c r="F15" s="68">
        <v>1</v>
      </c>
      <c r="G15" s="68" t="s">
        <v>293</v>
      </c>
      <c r="H15" s="68" t="s">
        <v>321</v>
      </c>
    </row>
    <row r="16" ht="40.5" customHeight="1" spans="1:8">
      <c r="B16" s="68" t="s">
        <v>322</v>
      </c>
      <c r="C16" s="68" t="s">
        <v>323</v>
      </c>
      <c r="D16" s="68">
        <v>1</v>
      </c>
      <c r="E16" s="68">
        <v>100</v>
      </c>
      <c r="F16" s="68">
        <v>1</v>
      </c>
      <c r="G16" s="68" t="s">
        <v>297</v>
      </c>
      <c r="H16" s="68" t="s">
        <v>324</v>
      </c>
    </row>
    <row r="17" spans="2:8">
      <c r="B17" s="68" t="s">
        <v>325</v>
      </c>
      <c r="C17" s="68" t="s">
        <v>326</v>
      </c>
      <c r="D17" s="68">
        <v>0.6</v>
      </c>
      <c r="E17" s="68">
        <v>89.9</v>
      </c>
      <c r="F17" s="68">
        <v>0.5394</v>
      </c>
      <c r="G17" s="68" t="s">
        <v>327</v>
      </c>
      <c r="H17" s="68" t="s">
        <v>328</v>
      </c>
    </row>
    <row r="18" spans="2:8">
      <c r="B18" s="68" t="s">
        <v>329</v>
      </c>
      <c r="C18" s="68" t="s">
        <v>330</v>
      </c>
      <c r="D18" s="35"/>
      <c r="E18" s="68">
        <v>10</v>
      </c>
      <c r="F18" s="68">
        <v>0.06</v>
      </c>
      <c r="G18" s="35"/>
      <c r="H18" s="35"/>
    </row>
    <row r="19" spans="2:8">
      <c r="B19" s="68" t="s">
        <v>331</v>
      </c>
      <c r="C19" s="68" t="s">
        <v>332</v>
      </c>
      <c r="D19" s="37"/>
      <c r="E19" s="68">
        <v>0.1</v>
      </c>
      <c r="F19" s="68">
        <v>0.0006</v>
      </c>
      <c r="G19" s="37"/>
      <c r="H19" s="37"/>
    </row>
    <row r="20" ht="27" customHeight="1" spans="2:8">
      <c r="B20" s="68" t="s">
        <v>333</v>
      </c>
      <c r="C20" s="68" t="s">
        <v>334</v>
      </c>
      <c r="D20" s="68">
        <v>0.5</v>
      </c>
      <c r="E20" s="68">
        <v>94</v>
      </c>
      <c r="F20" s="68">
        <v>0.47</v>
      </c>
      <c r="G20" s="68" t="s">
        <v>335</v>
      </c>
      <c r="H20" s="68" t="s">
        <v>336</v>
      </c>
    </row>
    <row r="21" spans="2:8">
      <c r="B21" s="68" t="s">
        <v>337</v>
      </c>
      <c r="C21" s="68" t="s">
        <v>338</v>
      </c>
      <c r="D21" s="35"/>
      <c r="E21" s="68">
        <v>2</v>
      </c>
      <c r="F21" s="68">
        <v>0.01</v>
      </c>
      <c r="G21" s="35"/>
      <c r="H21" t="s">
        <v>339</v>
      </c>
    </row>
    <row r="22" spans="2:8">
      <c r="B22" s="68" t="s">
        <v>340</v>
      </c>
      <c r="C22" s="68" t="s">
        <v>341</v>
      </c>
      <c r="D22" s="37"/>
      <c r="E22" s="68">
        <v>4</v>
      </c>
      <c r="F22" s="68">
        <v>0.02</v>
      </c>
      <c r="G22" s="37"/>
      <c r="H22" t="s">
        <v>342</v>
      </c>
    </row>
    <row r="23" spans="2:8">
      <c r="B23" s="68" t="s">
        <v>343</v>
      </c>
      <c r="C23" s="68" t="s">
        <v>344</v>
      </c>
      <c r="D23" s="68">
        <v>0.42</v>
      </c>
      <c r="E23" s="68">
        <v>54</v>
      </c>
      <c r="F23" s="68">
        <v>0.2268</v>
      </c>
      <c r="G23" s="68" t="s">
        <v>307</v>
      </c>
      <c r="H23" s="68" t="s">
        <v>345</v>
      </c>
    </row>
    <row r="24" spans="2:8">
      <c r="B24" s="68" t="s">
        <v>346</v>
      </c>
      <c r="C24" s="68" t="s">
        <v>347</v>
      </c>
      <c r="D24" s="35"/>
      <c r="E24" s="68">
        <v>35</v>
      </c>
      <c r="F24" s="68">
        <v>0.147</v>
      </c>
      <c r="G24" s="35"/>
      <c r="H24" s="35"/>
    </row>
    <row r="25" spans="2:8">
      <c r="B25" s="68" t="s">
        <v>348</v>
      </c>
      <c r="C25" s="68" t="s">
        <v>349</v>
      </c>
      <c r="D25" s="35"/>
      <c r="E25" s="68">
        <v>7</v>
      </c>
      <c r="F25" s="68">
        <v>0.0294</v>
      </c>
      <c r="G25" s="35"/>
      <c r="H25" s="35"/>
    </row>
    <row r="26" spans="2:8">
      <c r="B26" s="68" t="s">
        <v>67</v>
      </c>
      <c r="C26" s="68" t="s">
        <v>292</v>
      </c>
      <c r="D26" s="37"/>
      <c r="E26" s="68">
        <v>4</v>
      </c>
      <c r="F26" s="68">
        <v>0.0168</v>
      </c>
      <c r="G26" s="37"/>
      <c r="H26" s="37"/>
    </row>
    <row r="27" ht="40.5" customHeight="1" spans="2:8">
      <c r="B27" s="68" t="s">
        <v>350</v>
      </c>
      <c r="C27" s="68" t="s">
        <v>351</v>
      </c>
      <c r="D27" s="68">
        <v>0.2</v>
      </c>
      <c r="E27" s="68">
        <v>100</v>
      </c>
      <c r="F27" s="68">
        <v>0.2</v>
      </c>
      <c r="G27" s="68" t="s">
        <v>327</v>
      </c>
      <c r="H27" s="68" t="s">
        <v>352</v>
      </c>
    </row>
    <row r="28" ht="40.5" customHeight="1" spans="2:8">
      <c r="B28" s="68" t="s">
        <v>353</v>
      </c>
      <c r="C28" s="68" t="s">
        <v>354</v>
      </c>
      <c r="D28" s="68">
        <v>0.15</v>
      </c>
      <c r="E28" s="68">
        <v>100</v>
      </c>
      <c r="F28" s="68">
        <v>0.15</v>
      </c>
      <c r="G28" s="68" t="s">
        <v>355</v>
      </c>
      <c r="H28" s="68" t="s">
        <v>356</v>
      </c>
    </row>
    <row r="29" spans="2:8">
      <c r="B29" s="68" t="s">
        <v>146</v>
      </c>
      <c r="C29" s="68" t="s">
        <v>147</v>
      </c>
      <c r="D29" s="68">
        <v>0.11</v>
      </c>
      <c r="E29" s="68">
        <v>99.9</v>
      </c>
      <c r="F29" s="68">
        <v>0.10989</v>
      </c>
      <c r="G29" s="68" t="s">
        <v>355</v>
      </c>
      <c r="H29" s="68" t="s">
        <v>357</v>
      </c>
    </row>
    <row r="30" spans="2:8">
      <c r="B30" s="68" t="s">
        <v>67</v>
      </c>
      <c r="C30" s="68" t="s">
        <v>68</v>
      </c>
      <c r="D30" s="37"/>
      <c r="E30" s="68">
        <v>0.1</v>
      </c>
      <c r="F30" s="68">
        <v>0.00011</v>
      </c>
      <c r="G30" s="37"/>
      <c r="H30" s="37"/>
    </row>
    <row r="31" ht="40.5" customHeight="1" spans="2:8">
      <c r="B31" s="68" t="s">
        <v>281</v>
      </c>
      <c r="C31" s="68" t="s">
        <v>282</v>
      </c>
      <c r="D31" s="68">
        <v>0.04</v>
      </c>
      <c r="E31" s="68">
        <v>100</v>
      </c>
      <c r="F31" s="68">
        <v>0.04</v>
      </c>
      <c r="G31" s="68" t="s">
        <v>358</v>
      </c>
      <c r="H31" s="68" t="s">
        <v>359</v>
      </c>
    </row>
    <row r="32" spans="2:8">
      <c r="B32" s="68" t="s">
        <v>207</v>
      </c>
      <c r="C32" s="68" t="s">
        <v>208</v>
      </c>
      <c r="D32" s="68">
        <v>0.001</v>
      </c>
      <c r="E32" s="68">
        <v>84.5</v>
      </c>
      <c r="F32" s="68">
        <v>0.000845</v>
      </c>
      <c r="G32" s="68" t="s">
        <v>355</v>
      </c>
      <c r="H32" s="68" t="s">
        <v>360</v>
      </c>
    </row>
    <row r="33" spans="2:8">
      <c r="B33" s="68" t="s">
        <v>67</v>
      </c>
      <c r="C33" s="68" t="s">
        <v>68</v>
      </c>
      <c r="D33" s="35"/>
      <c r="E33" s="68">
        <v>6</v>
      </c>
      <c r="F33" s="68">
        <v>6e-5</v>
      </c>
      <c r="G33" s="35"/>
      <c r="H33" s="35"/>
    </row>
    <row r="34" ht="27" customHeight="1" spans="2:8">
      <c r="B34" s="68" t="s">
        <v>361</v>
      </c>
      <c r="C34" s="68" t="s">
        <v>362</v>
      </c>
      <c r="D34" s="35"/>
      <c r="E34" s="68">
        <v>4.5</v>
      </c>
      <c r="F34" s="68">
        <v>4.5e-5</v>
      </c>
      <c r="G34" s="35"/>
      <c r="H34" s="35"/>
    </row>
    <row r="35" ht="27" customHeight="1" spans="2:8">
      <c r="B35" s="68" t="s">
        <v>363</v>
      </c>
      <c r="C35" s="68" t="s">
        <v>364</v>
      </c>
      <c r="D35" s="35"/>
      <c r="E35" s="68">
        <v>2</v>
      </c>
      <c r="F35" s="68">
        <v>2e-5</v>
      </c>
      <c r="G35" s="35"/>
      <c r="H35" s="35"/>
    </row>
    <row r="36" ht="27" customHeight="1" spans="2:8">
      <c r="B36" s="68" t="s">
        <v>365</v>
      </c>
      <c r="C36" s="68" t="s">
        <v>366</v>
      </c>
      <c r="D36" s="35"/>
      <c r="E36" s="68">
        <v>1.4</v>
      </c>
      <c r="F36" s="68">
        <v>1.4e-5</v>
      </c>
      <c r="G36" s="35"/>
      <c r="H36" s="35"/>
    </row>
    <row r="37" ht="27" customHeight="1" spans="2:8">
      <c r="B37" s="68" t="s">
        <v>367</v>
      </c>
      <c r="C37" s="68" t="s">
        <v>368</v>
      </c>
      <c r="D37" s="35"/>
      <c r="E37" s="68">
        <v>0.8</v>
      </c>
      <c r="F37" s="68">
        <v>8e-6</v>
      </c>
      <c r="G37" s="35"/>
      <c r="H37" s="35"/>
    </row>
    <row r="38" ht="27" customHeight="1" spans="2:8">
      <c r="B38" s="68" t="s">
        <v>369</v>
      </c>
      <c r="C38" s="68" t="s">
        <v>370</v>
      </c>
      <c r="D38" s="37"/>
      <c r="E38" s="68">
        <v>0.8</v>
      </c>
      <c r="F38" s="68">
        <v>8e-6</v>
      </c>
      <c r="G38" s="37"/>
      <c r="H38" s="37"/>
    </row>
    <row r="39" ht="40.5" customHeight="1" spans="2:8">
      <c r="B39" s="68" t="s">
        <v>371</v>
      </c>
      <c r="C39" s="68" t="s">
        <v>372</v>
      </c>
      <c r="D39" s="68">
        <v>0.001</v>
      </c>
      <c r="E39" s="68">
        <v>100</v>
      </c>
      <c r="F39" s="68">
        <v>0.001</v>
      </c>
      <c r="G39" s="68" t="s">
        <v>355</v>
      </c>
      <c r="H39" s="68" t="s">
        <v>373</v>
      </c>
    </row>
    <row r="40" ht="40.5" customHeight="1" spans="2:8">
      <c r="B40" s="68" t="s">
        <v>217</v>
      </c>
      <c r="C40" s="68" t="s">
        <v>218</v>
      </c>
      <c r="D40" s="68">
        <v>0.001</v>
      </c>
      <c r="E40" s="68">
        <v>100</v>
      </c>
      <c r="F40" s="68">
        <v>0.001</v>
      </c>
      <c r="G40" s="68" t="s">
        <v>355</v>
      </c>
      <c r="H40" s="68" t="s">
        <v>374</v>
      </c>
    </row>
    <row r="41" ht="27" customHeight="1" spans="2:8">
      <c r="B41" s="68" t="s">
        <v>375</v>
      </c>
      <c r="C41" s="68" t="s">
        <v>376</v>
      </c>
      <c r="D41" s="68">
        <v>0.001</v>
      </c>
      <c r="E41" s="68">
        <v>10</v>
      </c>
      <c r="F41" s="68">
        <v>0.0001</v>
      </c>
      <c r="G41" s="68" t="s">
        <v>355</v>
      </c>
      <c r="H41" s="68" t="s">
        <v>377</v>
      </c>
    </row>
    <row r="42" spans="2:8">
      <c r="B42" s="68" t="s">
        <v>378</v>
      </c>
      <c r="C42" s="68" t="s">
        <v>379</v>
      </c>
      <c r="D42" s="35"/>
      <c r="E42" s="68">
        <v>0.6</v>
      </c>
      <c r="F42" s="68">
        <v>6e-6</v>
      </c>
      <c r="G42" s="35"/>
      <c r="H42" s="35"/>
    </row>
    <row r="43" spans="2:8">
      <c r="B43" s="68" t="s">
        <v>207</v>
      </c>
      <c r="C43" s="68" t="s">
        <v>208</v>
      </c>
      <c r="D43" s="35"/>
      <c r="E43" s="68">
        <v>20</v>
      </c>
      <c r="F43" s="68">
        <v>0.0002</v>
      </c>
      <c r="G43" s="35"/>
      <c r="H43" s="35"/>
    </row>
    <row r="44" spans="2:8">
      <c r="B44" s="68" t="s">
        <v>67</v>
      </c>
      <c r="C44" s="68" t="s">
        <v>292</v>
      </c>
      <c r="D44" s="37"/>
      <c r="E44" s="68">
        <v>69.4</v>
      </c>
      <c r="F44" s="68">
        <v>0.000694</v>
      </c>
      <c r="G44" s="37"/>
      <c r="H44" s="37"/>
    </row>
    <row r="45" ht="27" customHeight="1" spans="2:8">
      <c r="B45" s="68" t="s">
        <v>380</v>
      </c>
      <c r="C45" s="68" t="s">
        <v>381</v>
      </c>
      <c r="D45" s="68">
        <v>0.001</v>
      </c>
      <c r="E45" s="68">
        <v>100</v>
      </c>
      <c r="F45" s="68">
        <v>0.001</v>
      </c>
      <c r="G45" s="68" t="s">
        <v>355</v>
      </c>
      <c r="H45" s="68" t="s">
        <v>382</v>
      </c>
    </row>
  </sheetData>
  <mergeCells count="27">
    <mergeCell ref="A1:H1"/>
    <mergeCell ref="D4:D5"/>
    <mergeCell ref="D11:D12"/>
    <mergeCell ref="D13:D14"/>
    <mergeCell ref="D17:D19"/>
    <mergeCell ref="D20:D22"/>
    <mergeCell ref="D23:D26"/>
    <mergeCell ref="D29:D30"/>
    <mergeCell ref="D32:D38"/>
    <mergeCell ref="D41:D44"/>
    <mergeCell ref="G4:G5"/>
    <mergeCell ref="G11:G12"/>
    <mergeCell ref="G13:G14"/>
    <mergeCell ref="G17:G19"/>
    <mergeCell ref="G20:G22"/>
    <mergeCell ref="G23:G26"/>
    <mergeCell ref="G29:G30"/>
    <mergeCell ref="G32:G38"/>
    <mergeCell ref="G41:G44"/>
    <mergeCell ref="H4:H5"/>
    <mergeCell ref="H11:H12"/>
    <mergeCell ref="H13:H14"/>
    <mergeCell ref="H17:H19"/>
    <mergeCell ref="H23:H26"/>
    <mergeCell ref="H29:H30"/>
    <mergeCell ref="H32:H38"/>
    <mergeCell ref="H41:H4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opLeftCell="A17" workbookViewId="0">
      <selection activeCell="H23" sqref="H23:H24"/>
    </sheetView>
  </sheetViews>
  <sheetFormatPr defaultColWidth="9" defaultRowHeight="13.5" outlineLevelCol="7"/>
  <cols>
    <col min="1" max="1" width="9" style="1" customWidth="1"/>
    <col min="2" max="2" width="23" style="1" customWidth="1"/>
    <col min="3" max="3" width="25.375" style="1" customWidth="1"/>
    <col min="4" max="4" width="9" style="1" customWidth="1"/>
    <col min="5" max="5" width="16.5083333333333" style="1" customWidth="1"/>
    <col min="6" max="6" width="16.125" style="1" customWidth="1"/>
    <col min="7" max="7" width="17.625" style="1" customWidth="1"/>
    <col min="8" max="8" width="25.475" style="1" customWidth="1"/>
  </cols>
  <sheetData>
    <row r="1" ht="30" customHeight="1" spans="1:8">
      <c r="A1" s="2" t="s">
        <v>383</v>
      </c>
    </row>
    <row r="2" ht="24" customHeight="1" spans="1:8">
      <c r="A2" s="3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ht="14.25" customHeight="1" spans="1:8">
      <c r="A3" s="60">
        <v>1</v>
      </c>
      <c r="B3" s="61" t="s">
        <v>67</v>
      </c>
      <c r="C3" s="61" t="s">
        <v>68</v>
      </c>
      <c r="D3" s="62">
        <f>100-SUM(D4:D38)</f>
        <v>83.8835</v>
      </c>
      <c r="E3" s="63">
        <v>100</v>
      </c>
      <c r="F3" s="62">
        <f>100-SUM(F4:F38)</f>
        <v>83.8835</v>
      </c>
      <c r="G3" s="9" t="s">
        <v>69</v>
      </c>
      <c r="H3" s="21" t="s">
        <v>70</v>
      </c>
    </row>
    <row r="4" ht="14.25" customHeight="1" spans="1:8">
      <c r="A4" s="64">
        <v>2</v>
      </c>
      <c r="B4" s="28" t="s">
        <v>88</v>
      </c>
      <c r="C4" s="28" t="s">
        <v>89</v>
      </c>
      <c r="D4" s="14">
        <v>6</v>
      </c>
      <c r="E4" s="29">
        <v>100</v>
      </c>
      <c r="F4" s="14">
        <v>6</v>
      </c>
      <c r="G4" s="9" t="s">
        <v>86</v>
      </c>
      <c r="H4" s="10" t="s">
        <v>90</v>
      </c>
    </row>
    <row r="5" ht="14.25" customHeight="1" spans="1:8">
      <c r="A5" s="64">
        <v>3</v>
      </c>
      <c r="B5" s="28" t="s">
        <v>207</v>
      </c>
      <c r="C5" s="28" t="s">
        <v>208</v>
      </c>
      <c r="D5" s="14">
        <v>5</v>
      </c>
      <c r="E5" s="29">
        <v>100</v>
      </c>
      <c r="F5" s="14">
        <v>5</v>
      </c>
      <c r="G5" s="9" t="s">
        <v>86</v>
      </c>
      <c r="H5" s="10" t="s">
        <v>209</v>
      </c>
    </row>
    <row r="6" ht="14.25" customHeight="1" spans="1:8">
      <c r="A6" s="64">
        <v>4</v>
      </c>
      <c r="B6" s="28" t="s">
        <v>217</v>
      </c>
      <c r="C6" s="28" t="s">
        <v>218</v>
      </c>
      <c r="D6" s="14">
        <v>3</v>
      </c>
      <c r="E6" s="29">
        <v>100</v>
      </c>
      <c r="F6" s="14">
        <v>3</v>
      </c>
      <c r="G6" s="9" t="s">
        <v>73</v>
      </c>
      <c r="H6" s="10" t="s">
        <v>219</v>
      </c>
    </row>
    <row r="7" ht="14.25" customHeight="1" spans="1:8">
      <c r="A7" s="64">
        <v>5</v>
      </c>
      <c r="B7" s="28" t="s">
        <v>384</v>
      </c>
      <c r="C7" s="28" t="s">
        <v>385</v>
      </c>
      <c r="D7" s="14">
        <v>0.43</v>
      </c>
      <c r="E7" s="29">
        <v>100</v>
      </c>
      <c r="F7" s="14">
        <v>0.43</v>
      </c>
      <c r="G7" s="9" t="s">
        <v>73</v>
      </c>
      <c r="H7" s="10" t="s">
        <v>386</v>
      </c>
    </row>
    <row r="8" ht="14.25" customHeight="1" spans="1:8">
      <c r="A8" s="64">
        <v>6</v>
      </c>
      <c r="B8" s="28" t="s">
        <v>387</v>
      </c>
      <c r="C8" s="28" t="s">
        <v>388</v>
      </c>
      <c r="D8" s="14">
        <v>0.32</v>
      </c>
      <c r="E8" s="29">
        <v>100</v>
      </c>
      <c r="F8" s="14">
        <v>0.32</v>
      </c>
      <c r="G8" s="9" t="s">
        <v>73</v>
      </c>
      <c r="H8" s="10" t="s">
        <v>389</v>
      </c>
    </row>
    <row r="9" ht="14.25" customHeight="1" spans="1:8">
      <c r="A9" s="64">
        <v>7</v>
      </c>
      <c r="B9" s="28" t="s">
        <v>390</v>
      </c>
      <c r="C9" s="28" t="s">
        <v>391</v>
      </c>
      <c r="D9" s="14">
        <v>0.15</v>
      </c>
      <c r="E9" s="29">
        <v>100</v>
      </c>
      <c r="F9" s="14">
        <v>0.15</v>
      </c>
      <c r="G9" s="9" t="s">
        <v>73</v>
      </c>
      <c r="H9" s="10" t="s">
        <v>392</v>
      </c>
    </row>
    <row r="10" ht="14.25" customHeight="1" spans="1:8">
      <c r="A10" s="64">
        <v>8</v>
      </c>
      <c r="B10" s="28" t="s">
        <v>393</v>
      </c>
      <c r="C10" s="28" t="s">
        <v>394</v>
      </c>
      <c r="D10" s="14">
        <v>0.12</v>
      </c>
      <c r="E10" s="29">
        <v>100</v>
      </c>
      <c r="F10" s="14">
        <v>0.12</v>
      </c>
      <c r="G10" s="9" t="s">
        <v>179</v>
      </c>
      <c r="H10" s="65">
        <v>2594322</v>
      </c>
    </row>
    <row r="11" ht="14.25" customHeight="1" spans="1:8">
      <c r="A11" s="64">
        <v>9</v>
      </c>
      <c r="B11" s="28" t="s">
        <v>91</v>
      </c>
      <c r="C11" s="28" t="s">
        <v>92</v>
      </c>
      <c r="D11" s="14">
        <v>0.12</v>
      </c>
      <c r="E11" s="29">
        <v>100</v>
      </c>
      <c r="F11" s="14">
        <v>0.12</v>
      </c>
      <c r="G11" s="9" t="s">
        <v>93</v>
      </c>
      <c r="H11" s="10" t="s">
        <v>94</v>
      </c>
    </row>
    <row r="12" ht="14.25" customHeight="1" spans="1:8">
      <c r="A12" s="64">
        <v>10</v>
      </c>
      <c r="B12" s="28" t="s">
        <v>395</v>
      </c>
      <c r="C12" s="28" t="s">
        <v>396</v>
      </c>
      <c r="D12" s="14">
        <v>0.11</v>
      </c>
      <c r="E12" s="29">
        <v>100</v>
      </c>
      <c r="F12" s="14">
        <v>0.11</v>
      </c>
      <c r="G12" s="9" t="s">
        <v>179</v>
      </c>
      <c r="H12" s="10" t="s">
        <v>397</v>
      </c>
    </row>
    <row r="13" ht="14.25" customHeight="1" spans="1:8">
      <c r="A13" s="64">
        <v>11</v>
      </c>
      <c r="B13" s="28" t="s">
        <v>259</v>
      </c>
      <c r="C13" s="28" t="s">
        <v>260</v>
      </c>
      <c r="D13" s="14">
        <v>0.11</v>
      </c>
      <c r="E13" s="29">
        <v>100</v>
      </c>
      <c r="F13" s="14">
        <v>0.11</v>
      </c>
      <c r="G13" s="9" t="s">
        <v>73</v>
      </c>
      <c r="H13" s="21" t="s">
        <v>261</v>
      </c>
    </row>
    <row r="14" ht="14.25" customHeight="1" spans="1:8">
      <c r="A14" s="64">
        <v>12</v>
      </c>
      <c r="B14" s="28" t="s">
        <v>378</v>
      </c>
      <c r="C14" s="28" t="s">
        <v>379</v>
      </c>
      <c r="D14" s="14">
        <v>0.1</v>
      </c>
      <c r="E14" s="29">
        <v>100</v>
      </c>
      <c r="F14" s="14">
        <v>0.1</v>
      </c>
      <c r="G14" s="9" t="s">
        <v>186</v>
      </c>
      <c r="H14" s="10" t="s">
        <v>398</v>
      </c>
    </row>
    <row r="15" ht="14.25" customHeight="1" spans="1:8">
      <c r="A15" s="64">
        <v>13</v>
      </c>
      <c r="B15" s="28" t="s">
        <v>331</v>
      </c>
      <c r="C15" s="28" t="s">
        <v>332</v>
      </c>
      <c r="D15" s="14">
        <v>0.1</v>
      </c>
      <c r="E15" s="29">
        <v>100</v>
      </c>
      <c r="F15" s="14">
        <v>0.1</v>
      </c>
      <c r="G15" s="9" t="s">
        <v>399</v>
      </c>
      <c r="H15" s="10" t="s">
        <v>400</v>
      </c>
    </row>
    <row r="16" ht="14.25" customHeight="1" spans="1:8">
      <c r="A16" s="64">
        <v>14</v>
      </c>
      <c r="B16" s="28" t="s">
        <v>401</v>
      </c>
      <c r="C16" s="28" t="s">
        <v>402</v>
      </c>
      <c r="D16" s="14">
        <v>0.05</v>
      </c>
      <c r="E16" s="29">
        <v>100</v>
      </c>
      <c r="F16" s="14">
        <v>0.05</v>
      </c>
      <c r="G16" s="9" t="s">
        <v>73</v>
      </c>
      <c r="H16" s="10" t="s">
        <v>403</v>
      </c>
    </row>
    <row r="17" ht="14.25" customHeight="1" spans="1:8">
      <c r="A17" s="64">
        <v>15</v>
      </c>
      <c r="B17" s="28" t="s">
        <v>404</v>
      </c>
      <c r="C17" s="28" t="s">
        <v>405</v>
      </c>
      <c r="D17" s="14">
        <v>0.05</v>
      </c>
      <c r="E17" s="29">
        <v>100</v>
      </c>
      <c r="F17" s="14">
        <v>0.05</v>
      </c>
      <c r="G17" s="9" t="s">
        <v>73</v>
      </c>
      <c r="H17" s="10" t="s">
        <v>406</v>
      </c>
    </row>
    <row r="18" ht="14.25" customHeight="1" spans="1:8">
      <c r="A18" s="64">
        <v>16</v>
      </c>
      <c r="B18" s="28" t="s">
        <v>407</v>
      </c>
      <c r="C18" s="28" t="s">
        <v>408</v>
      </c>
      <c r="D18" s="14">
        <v>0.05</v>
      </c>
      <c r="E18" s="29">
        <v>100</v>
      </c>
      <c r="F18" s="14">
        <v>0.05</v>
      </c>
      <c r="G18" s="9" t="s">
        <v>73</v>
      </c>
      <c r="H18" s="10" t="s">
        <v>409</v>
      </c>
    </row>
    <row r="19" ht="21" customHeight="1" spans="1:8">
      <c r="A19" s="64">
        <v>17</v>
      </c>
      <c r="B19" s="28" t="s">
        <v>410</v>
      </c>
      <c r="C19" s="28" t="s">
        <v>411</v>
      </c>
      <c r="D19" s="14">
        <v>0.01</v>
      </c>
      <c r="E19" s="29">
        <v>100</v>
      </c>
      <c r="F19" s="14">
        <v>0.01</v>
      </c>
      <c r="G19" s="9" t="s">
        <v>73</v>
      </c>
      <c r="H19" s="10" t="s">
        <v>412</v>
      </c>
    </row>
    <row r="20" ht="14.25" customHeight="1" spans="1:8">
      <c r="A20" s="64">
        <v>18</v>
      </c>
      <c r="B20" s="28" t="s">
        <v>413</v>
      </c>
      <c r="C20" s="28" t="s">
        <v>414</v>
      </c>
      <c r="D20" s="14">
        <v>0.01</v>
      </c>
      <c r="E20" s="29">
        <v>100</v>
      </c>
      <c r="F20" s="14">
        <v>0.01</v>
      </c>
      <c r="G20" s="9" t="s">
        <v>86</v>
      </c>
      <c r="H20" s="10" t="s">
        <v>415</v>
      </c>
    </row>
    <row r="21" ht="14.25" customHeight="1" spans="1:8">
      <c r="A21" s="64">
        <v>19</v>
      </c>
      <c r="B21" s="28" t="s">
        <v>416</v>
      </c>
      <c r="C21" s="28" t="s">
        <v>417</v>
      </c>
      <c r="D21" s="14">
        <v>0.015</v>
      </c>
      <c r="E21" s="29">
        <v>100</v>
      </c>
      <c r="F21" s="14">
        <v>0.015</v>
      </c>
      <c r="G21" s="9" t="s">
        <v>73</v>
      </c>
      <c r="H21" s="10" t="s">
        <v>418</v>
      </c>
    </row>
    <row r="22" ht="21" customHeight="1" spans="1:8">
      <c r="A22" s="64">
        <v>20</v>
      </c>
      <c r="B22" s="28" t="s">
        <v>419</v>
      </c>
      <c r="C22" s="28" t="s">
        <v>420</v>
      </c>
      <c r="D22" s="14">
        <v>0.005</v>
      </c>
      <c r="E22" s="29">
        <v>100</v>
      </c>
      <c r="F22" s="14">
        <v>0.005</v>
      </c>
      <c r="G22" s="9" t="s">
        <v>73</v>
      </c>
      <c r="H22" s="10" t="s">
        <v>421</v>
      </c>
    </row>
    <row r="23" ht="21" customHeight="1" spans="1:8">
      <c r="A23" s="64">
        <v>21</v>
      </c>
      <c r="B23" s="28" t="s">
        <v>422</v>
      </c>
      <c r="C23" s="28" t="s">
        <v>423</v>
      </c>
      <c r="D23" s="14">
        <v>0.001</v>
      </c>
      <c r="E23" s="29">
        <v>100</v>
      </c>
      <c r="F23" s="14">
        <v>0.001</v>
      </c>
      <c r="G23" s="9" t="s">
        <v>73</v>
      </c>
      <c r="H23" s="10" t="s">
        <v>264</v>
      </c>
    </row>
    <row r="24" ht="21" customHeight="1" spans="1:8">
      <c r="A24" s="64">
        <v>22</v>
      </c>
      <c r="B24" s="28" t="s">
        <v>424</v>
      </c>
      <c r="C24" s="28" t="s">
        <v>425</v>
      </c>
      <c r="D24" s="14">
        <v>0.02</v>
      </c>
      <c r="E24" s="29">
        <v>100</v>
      </c>
      <c r="F24" s="14">
        <v>0.02</v>
      </c>
      <c r="G24" s="9" t="s">
        <v>73</v>
      </c>
      <c r="H24" s="10" t="s">
        <v>264</v>
      </c>
    </row>
    <row r="25" ht="21" customHeight="1" spans="1:8">
      <c r="A25" s="64">
        <v>23</v>
      </c>
      <c r="B25" s="28" t="s">
        <v>426</v>
      </c>
      <c r="C25" s="28" t="s">
        <v>427</v>
      </c>
      <c r="D25" s="14">
        <v>0.05</v>
      </c>
      <c r="E25" s="29">
        <v>100</v>
      </c>
      <c r="F25" s="14">
        <v>0.05</v>
      </c>
      <c r="G25" s="9" t="s">
        <v>73</v>
      </c>
      <c r="H25" s="10" t="s">
        <v>428</v>
      </c>
    </row>
    <row r="26" ht="21" customHeight="1" spans="1:8">
      <c r="A26" s="64">
        <v>24</v>
      </c>
      <c r="B26" s="28" t="s">
        <v>265</v>
      </c>
      <c r="C26" s="28" t="s">
        <v>266</v>
      </c>
      <c r="D26" s="14">
        <v>0.01</v>
      </c>
      <c r="E26" s="29">
        <v>100</v>
      </c>
      <c r="F26" s="14">
        <v>0.01</v>
      </c>
      <c r="G26" s="9" t="s">
        <v>73</v>
      </c>
      <c r="H26" s="10" t="s">
        <v>267</v>
      </c>
    </row>
    <row r="27" ht="14.25" customHeight="1" spans="1:8">
      <c r="A27" s="64">
        <v>25</v>
      </c>
      <c r="B27" s="28" t="s">
        <v>256</v>
      </c>
      <c r="C27" s="28" t="s">
        <v>257</v>
      </c>
      <c r="D27" s="14">
        <v>0.01</v>
      </c>
      <c r="E27" s="29">
        <v>100</v>
      </c>
      <c r="F27" s="14">
        <v>0.01</v>
      </c>
      <c r="G27" s="9" t="s">
        <v>73</v>
      </c>
      <c r="H27" s="10" t="s">
        <v>258</v>
      </c>
    </row>
    <row r="28" ht="21" customHeight="1" spans="1:8">
      <c r="A28" s="64">
        <v>26</v>
      </c>
      <c r="B28" s="28" t="s">
        <v>429</v>
      </c>
      <c r="C28" s="28" t="s">
        <v>430</v>
      </c>
      <c r="D28" s="14">
        <v>0.025</v>
      </c>
      <c r="E28" s="29">
        <v>100</v>
      </c>
      <c r="F28" s="14">
        <v>0.025</v>
      </c>
      <c r="G28" s="9" t="s">
        <v>73</v>
      </c>
      <c r="H28" s="10" t="s">
        <v>431</v>
      </c>
    </row>
    <row r="29" ht="14.25" customHeight="1" spans="1:8">
      <c r="A29" s="64">
        <v>27</v>
      </c>
      <c r="B29" s="28" t="s">
        <v>295</v>
      </c>
      <c r="C29" s="28" t="s">
        <v>296</v>
      </c>
      <c r="D29" s="14">
        <v>0.03</v>
      </c>
      <c r="E29" s="29">
        <v>100</v>
      </c>
      <c r="F29" s="14">
        <v>0.03</v>
      </c>
      <c r="G29" s="9" t="s">
        <v>432</v>
      </c>
      <c r="H29" s="10" t="s">
        <v>433</v>
      </c>
    </row>
    <row r="30" ht="14.25" customHeight="1" spans="1:8">
      <c r="A30" s="64">
        <v>28</v>
      </c>
      <c r="B30" s="28" t="s">
        <v>329</v>
      </c>
      <c r="C30" s="28" t="s">
        <v>330</v>
      </c>
      <c r="D30" s="14">
        <v>0.0095</v>
      </c>
      <c r="E30" s="29">
        <v>100</v>
      </c>
      <c r="F30" s="14">
        <v>0.0095</v>
      </c>
      <c r="G30" s="9" t="s">
        <v>86</v>
      </c>
      <c r="H30" s="10" t="s">
        <v>434</v>
      </c>
    </row>
    <row r="31" ht="14.25" customHeight="1" spans="1:8">
      <c r="A31" s="64">
        <v>29</v>
      </c>
      <c r="B31" s="28" t="s">
        <v>435</v>
      </c>
      <c r="C31" s="28" t="s">
        <v>436</v>
      </c>
      <c r="D31" s="14">
        <v>0.023</v>
      </c>
      <c r="E31" s="29">
        <v>100</v>
      </c>
      <c r="F31" s="14">
        <v>0.023</v>
      </c>
      <c r="G31" s="9" t="s">
        <v>179</v>
      </c>
      <c r="H31" s="10" t="s">
        <v>437</v>
      </c>
    </row>
    <row r="32" ht="14.25" customHeight="1" spans="1:8">
      <c r="A32" s="64">
        <v>30</v>
      </c>
      <c r="B32" s="28" t="s">
        <v>438</v>
      </c>
      <c r="C32" s="28" t="s">
        <v>439</v>
      </c>
      <c r="D32" s="14">
        <v>0.001</v>
      </c>
      <c r="E32" s="29">
        <v>100</v>
      </c>
      <c r="F32" s="14">
        <v>0.001</v>
      </c>
      <c r="G32" s="9" t="s">
        <v>169</v>
      </c>
      <c r="H32" s="10" t="s">
        <v>440</v>
      </c>
    </row>
    <row r="33" spans="1:8">
      <c r="A33" s="64">
        <v>31</v>
      </c>
      <c r="B33" s="28" t="s">
        <v>441</v>
      </c>
      <c r="C33" s="28" t="s">
        <v>442</v>
      </c>
      <c r="D33" s="29">
        <v>0.1</v>
      </c>
      <c r="E33" s="29">
        <v>100</v>
      </c>
      <c r="F33" s="29">
        <v>0.1</v>
      </c>
      <c r="G33" s="9" t="s">
        <v>186</v>
      </c>
      <c r="H33" s="10" t="s">
        <v>443</v>
      </c>
    </row>
    <row r="34" spans="1:8">
      <c r="A34" s="64">
        <v>32</v>
      </c>
      <c r="B34" s="28" t="s">
        <v>444</v>
      </c>
      <c r="C34" s="28" t="s">
        <v>445</v>
      </c>
      <c r="D34" s="29">
        <v>0.012</v>
      </c>
      <c r="E34" s="29">
        <v>100</v>
      </c>
      <c r="F34" s="29">
        <v>0.012</v>
      </c>
      <c r="G34" s="9" t="s">
        <v>73</v>
      </c>
      <c r="H34" s="21" t="s">
        <v>446</v>
      </c>
    </row>
    <row r="35" spans="1:8">
      <c r="A35" s="64">
        <v>33</v>
      </c>
      <c r="B35" s="28" t="s">
        <v>447</v>
      </c>
      <c r="C35" s="28" t="s">
        <v>448</v>
      </c>
      <c r="D35" s="29">
        <v>0.03</v>
      </c>
      <c r="E35" s="29">
        <v>100</v>
      </c>
      <c r="F35" s="29">
        <v>0.03</v>
      </c>
      <c r="G35" s="9" t="s">
        <v>73</v>
      </c>
      <c r="H35" s="21" t="s">
        <v>449</v>
      </c>
    </row>
    <row r="36" spans="1:8">
      <c r="A36" s="64">
        <v>34</v>
      </c>
      <c r="B36" s="28" t="s">
        <v>275</v>
      </c>
      <c r="C36" s="28" t="s">
        <v>276</v>
      </c>
      <c r="D36" s="29">
        <v>0.015</v>
      </c>
      <c r="E36" s="29">
        <v>100</v>
      </c>
      <c r="F36" s="29">
        <v>0.015</v>
      </c>
      <c r="G36" s="9" t="s">
        <v>86</v>
      </c>
      <c r="H36" s="10" t="s">
        <v>277</v>
      </c>
    </row>
    <row r="37" spans="1:8">
      <c r="A37" s="64">
        <v>35</v>
      </c>
      <c r="B37" s="28" t="s">
        <v>191</v>
      </c>
      <c r="C37" s="28" t="s">
        <v>192</v>
      </c>
      <c r="D37" s="29">
        <v>0.02</v>
      </c>
      <c r="E37" s="29">
        <v>100</v>
      </c>
      <c r="F37" s="29">
        <v>0.02</v>
      </c>
      <c r="G37" s="9" t="s">
        <v>86</v>
      </c>
      <c r="H37" s="10" t="s">
        <v>193</v>
      </c>
    </row>
    <row r="38" spans="1:8">
      <c r="A38" s="64">
        <v>36</v>
      </c>
      <c r="B38" s="28" t="s">
        <v>450</v>
      </c>
      <c r="C38" s="28" t="s">
        <v>451</v>
      </c>
      <c r="D38" s="29">
        <v>0.01</v>
      </c>
      <c r="E38" s="29">
        <v>100</v>
      </c>
      <c r="F38" s="29">
        <v>0.01</v>
      </c>
      <c r="G38" s="9" t="s">
        <v>283</v>
      </c>
      <c r="H38" s="21" t="s">
        <v>284</v>
      </c>
    </row>
  </sheetData>
  <mergeCells count="1">
    <mergeCell ref="A1:H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workbookViewId="0">
      <selection activeCell="E27" sqref="E27"/>
    </sheetView>
  </sheetViews>
  <sheetFormatPr defaultColWidth="9" defaultRowHeight="13.5" outlineLevelCol="7"/>
  <cols>
    <col min="1" max="1" width="9" style="1" customWidth="1"/>
    <col min="2" max="2" width="23" style="1" customWidth="1"/>
    <col min="3" max="3" width="25.375" style="1" customWidth="1"/>
    <col min="4" max="4" width="9" style="1" customWidth="1"/>
    <col min="5" max="5" width="16.5" style="1" customWidth="1"/>
    <col min="6" max="6" width="16.125" style="1" customWidth="1"/>
    <col min="7" max="7" width="17.625" style="1" customWidth="1"/>
    <col min="8" max="8" width="9" style="1" customWidth="1"/>
  </cols>
  <sheetData>
    <row r="1" ht="30" customHeight="1" spans="1:8">
      <c r="A1" s="2" t="s">
        <v>452</v>
      </c>
    </row>
    <row r="2" ht="24" customHeight="1" spans="1:8">
      <c r="A2" s="3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ht="14.25" customHeight="1" spans="1:8">
      <c r="A3" s="5"/>
      <c r="B3" s="53" t="s">
        <v>67</v>
      </c>
      <c r="C3" s="53" t="s">
        <v>292</v>
      </c>
      <c r="D3" s="54">
        <f>100-SUM(D4:D54)</f>
        <v>41.47</v>
      </c>
      <c r="E3" s="54">
        <v>100</v>
      </c>
      <c r="F3" s="54">
        <f>100-SUM(F4:F54)</f>
        <v>41.47</v>
      </c>
      <c r="G3" s="55" t="s">
        <v>286</v>
      </c>
      <c r="H3" s="10" t="s">
        <v>70</v>
      </c>
    </row>
    <row r="4" ht="14.25" customHeight="1" spans="1:8">
      <c r="A4" s="11"/>
      <c r="B4" s="15" t="s">
        <v>453</v>
      </c>
      <c r="C4" s="15" t="s">
        <v>454</v>
      </c>
      <c r="D4" s="14">
        <v>10</v>
      </c>
      <c r="E4" s="14">
        <v>100</v>
      </c>
      <c r="F4" s="14">
        <v>10</v>
      </c>
      <c r="G4" s="9" t="s">
        <v>297</v>
      </c>
      <c r="H4" s="10" t="s">
        <v>455</v>
      </c>
    </row>
    <row r="5" ht="45" customHeight="1" spans="1:8">
      <c r="A5" s="11"/>
      <c r="B5" s="15" t="s">
        <v>456</v>
      </c>
      <c r="C5" s="15" t="s">
        <v>457</v>
      </c>
      <c r="D5" s="14">
        <v>3</v>
      </c>
      <c r="E5" s="14">
        <v>100</v>
      </c>
      <c r="F5" s="14">
        <v>3</v>
      </c>
      <c r="G5" s="9" t="s">
        <v>297</v>
      </c>
      <c r="H5" s="10" t="s">
        <v>458</v>
      </c>
    </row>
    <row r="6" ht="14.25" customHeight="1" spans="1:8">
      <c r="A6" s="11"/>
      <c r="B6" s="15" t="s">
        <v>207</v>
      </c>
      <c r="C6" s="15" t="s">
        <v>208</v>
      </c>
      <c r="D6" s="14">
        <v>3</v>
      </c>
      <c r="E6" s="14">
        <v>100</v>
      </c>
      <c r="F6" s="14">
        <v>3</v>
      </c>
      <c r="G6" s="9" t="s">
        <v>293</v>
      </c>
      <c r="H6" s="10" t="s">
        <v>209</v>
      </c>
    </row>
    <row r="7" ht="27" customHeight="1" spans="1:8">
      <c r="A7" s="11"/>
      <c r="B7" s="12" t="s">
        <v>459</v>
      </c>
      <c r="C7" s="12" t="s">
        <v>460</v>
      </c>
      <c r="D7" s="14">
        <v>3</v>
      </c>
      <c r="E7" s="14">
        <v>100</v>
      </c>
      <c r="F7" s="14">
        <v>3</v>
      </c>
      <c r="G7" s="9" t="s">
        <v>355</v>
      </c>
      <c r="H7" s="10" t="s">
        <v>461</v>
      </c>
    </row>
    <row r="8" ht="45" customHeight="1" spans="1:8">
      <c r="A8" s="11"/>
      <c r="B8" s="19" t="s">
        <v>462</v>
      </c>
      <c r="C8" s="20" t="s">
        <v>463</v>
      </c>
      <c r="D8" s="14">
        <v>3.5</v>
      </c>
      <c r="E8" s="14">
        <v>10</v>
      </c>
      <c r="F8" s="14">
        <f>E8*3.5/100</f>
        <v>0.35</v>
      </c>
      <c r="G8" s="14" t="s">
        <v>464</v>
      </c>
      <c r="H8" s="10" t="s">
        <v>465</v>
      </c>
    </row>
    <row r="9" ht="14.25" customHeight="1" spans="1:8">
      <c r="A9" s="11"/>
      <c r="B9" s="19" t="s">
        <v>333</v>
      </c>
      <c r="C9" s="20" t="s">
        <v>334</v>
      </c>
      <c r="D9" s="37"/>
      <c r="E9" s="14">
        <v>90</v>
      </c>
      <c r="F9" s="14">
        <f>E9*3.5/100</f>
        <v>3.15</v>
      </c>
      <c r="G9" s="37"/>
      <c r="H9" s="10" t="s">
        <v>336</v>
      </c>
    </row>
    <row r="10" ht="33.75" customHeight="1" spans="1:8">
      <c r="A10" s="11"/>
      <c r="B10" s="12" t="s">
        <v>466</v>
      </c>
      <c r="C10" s="12" t="s">
        <v>467</v>
      </c>
      <c r="D10" s="14">
        <v>3</v>
      </c>
      <c r="E10" s="14">
        <v>100</v>
      </c>
      <c r="F10" s="14">
        <v>3</v>
      </c>
      <c r="G10" s="9" t="s">
        <v>355</v>
      </c>
      <c r="H10" s="10" t="s">
        <v>468</v>
      </c>
    </row>
    <row r="11" ht="14.25" customHeight="1" spans="1:8">
      <c r="A11" s="11"/>
      <c r="B11" s="19" t="s">
        <v>469</v>
      </c>
      <c r="C11" s="20" t="s">
        <v>470</v>
      </c>
      <c r="D11" s="14">
        <v>3</v>
      </c>
      <c r="E11" s="14">
        <v>100</v>
      </c>
      <c r="F11" s="14">
        <v>3</v>
      </c>
      <c r="G11" s="14" t="s">
        <v>464</v>
      </c>
      <c r="H11" s="10" t="s">
        <v>471</v>
      </c>
    </row>
    <row r="12" ht="14.25" customHeight="1" spans="1:8">
      <c r="A12" s="11"/>
      <c r="B12" s="19" t="s">
        <v>472</v>
      </c>
      <c r="C12" s="20" t="s">
        <v>473</v>
      </c>
      <c r="D12" s="14">
        <v>3</v>
      </c>
      <c r="E12" s="14">
        <v>100</v>
      </c>
      <c r="F12" s="14">
        <v>3</v>
      </c>
      <c r="G12" s="14" t="s">
        <v>464</v>
      </c>
      <c r="H12" s="10" t="s">
        <v>474</v>
      </c>
    </row>
    <row r="13" ht="14.25" customHeight="1" spans="1:8">
      <c r="A13" s="11"/>
      <c r="B13" s="15" t="s">
        <v>217</v>
      </c>
      <c r="C13" s="15" t="s">
        <v>218</v>
      </c>
      <c r="D13" s="14">
        <v>2</v>
      </c>
      <c r="E13" s="14">
        <v>100</v>
      </c>
      <c r="F13" s="14">
        <v>2</v>
      </c>
      <c r="G13" s="14" t="s">
        <v>355</v>
      </c>
      <c r="H13" s="10" t="s">
        <v>219</v>
      </c>
    </row>
    <row r="14" ht="14.25" customHeight="1" spans="1:8">
      <c r="A14" s="11"/>
      <c r="B14" s="15" t="s">
        <v>88</v>
      </c>
      <c r="C14" s="15" t="s">
        <v>89</v>
      </c>
      <c r="D14" s="14">
        <v>2</v>
      </c>
      <c r="E14" s="14">
        <v>100</v>
      </c>
      <c r="F14" s="14">
        <v>2</v>
      </c>
      <c r="G14" s="9" t="s">
        <v>293</v>
      </c>
      <c r="H14" s="10" t="s">
        <v>90</v>
      </c>
    </row>
    <row r="15" ht="14.25" customHeight="1" spans="1:8">
      <c r="B15" s="19" t="s">
        <v>475</v>
      </c>
      <c r="C15" s="20" t="s">
        <v>476</v>
      </c>
      <c r="D15" s="14">
        <v>2</v>
      </c>
      <c r="E15" s="14">
        <v>100</v>
      </c>
      <c r="F15" s="14">
        <v>2</v>
      </c>
      <c r="G15" s="14" t="s">
        <v>464</v>
      </c>
      <c r="H15" s="10" t="s">
        <v>477</v>
      </c>
    </row>
    <row r="16" ht="78.75" customHeight="1" spans="1:8">
      <c r="B16" s="15" t="s">
        <v>322</v>
      </c>
      <c r="C16" s="15" t="s">
        <v>323</v>
      </c>
      <c r="D16" s="14">
        <v>2</v>
      </c>
      <c r="E16" s="14">
        <v>85</v>
      </c>
      <c r="F16" s="14">
        <f>E16*2/100</f>
        <v>1.7</v>
      </c>
      <c r="G16" s="14" t="s">
        <v>355</v>
      </c>
      <c r="H16" s="10" t="s">
        <v>478</v>
      </c>
    </row>
    <row r="17" ht="40.5" customHeight="1" spans="2:8">
      <c r="B17" s="15" t="s">
        <v>479</v>
      </c>
      <c r="C17" s="15" t="s">
        <v>480</v>
      </c>
      <c r="D17" s="37"/>
      <c r="E17" s="14">
        <v>15</v>
      </c>
      <c r="F17" s="14">
        <f>E17*2/100</f>
        <v>0.3</v>
      </c>
      <c r="G17" s="37"/>
      <c r="H17" s="10" t="s">
        <v>481</v>
      </c>
    </row>
    <row r="18" ht="14.25" customHeight="1" spans="2:8">
      <c r="B18" s="14" t="s">
        <v>259</v>
      </c>
      <c r="C18" s="14" t="s">
        <v>260</v>
      </c>
      <c r="D18" s="14">
        <v>2</v>
      </c>
      <c r="E18" s="14">
        <v>100</v>
      </c>
      <c r="F18" s="14">
        <v>2</v>
      </c>
      <c r="G18" s="14" t="s">
        <v>355</v>
      </c>
      <c r="H18" s="10" t="s">
        <v>261</v>
      </c>
    </row>
    <row r="19" ht="14.25" customHeight="1" spans="2:8">
      <c r="B19" s="19" t="s">
        <v>482</v>
      </c>
      <c r="C19" s="20" t="s">
        <v>483</v>
      </c>
      <c r="D19" s="14">
        <v>2</v>
      </c>
      <c r="E19" s="14">
        <v>20</v>
      </c>
      <c r="F19" s="14">
        <f t="shared" ref="F19:F31" si="0">E19*2/100</f>
        <v>0.4</v>
      </c>
      <c r="G19" s="14" t="s">
        <v>464</v>
      </c>
      <c r="H19" s="10" t="s">
        <v>484</v>
      </c>
    </row>
    <row r="20" ht="14.25" customHeight="1" spans="2:8">
      <c r="B20" s="19" t="s">
        <v>485</v>
      </c>
      <c r="C20" s="20" t="s">
        <v>486</v>
      </c>
      <c r="D20" s="35"/>
      <c r="E20" s="14">
        <v>20</v>
      </c>
      <c r="F20" s="14">
        <f t="shared" si="0"/>
        <v>0.4</v>
      </c>
      <c r="G20" s="35"/>
      <c r="H20" s="10" t="s">
        <v>487</v>
      </c>
    </row>
    <row r="21" ht="14.25" customHeight="1" spans="2:8">
      <c r="B21" s="19" t="s">
        <v>472</v>
      </c>
      <c r="C21" s="20" t="s">
        <v>473</v>
      </c>
      <c r="D21" s="35"/>
      <c r="E21" s="14">
        <v>10</v>
      </c>
      <c r="F21" s="14">
        <f t="shared" si="0"/>
        <v>0.2</v>
      </c>
      <c r="G21" s="35"/>
      <c r="H21" s="10" t="s">
        <v>474</v>
      </c>
    </row>
    <row r="22" ht="14.25" customHeight="1" spans="2:8">
      <c r="B22" s="19" t="s">
        <v>67</v>
      </c>
      <c r="C22" s="20" t="s">
        <v>292</v>
      </c>
      <c r="D22" s="35"/>
      <c r="E22" s="14">
        <v>38.9</v>
      </c>
      <c r="F22" s="14">
        <f t="shared" si="0"/>
        <v>0.778</v>
      </c>
      <c r="G22" s="35"/>
      <c r="H22" s="10" t="s">
        <v>70</v>
      </c>
    </row>
    <row r="23" ht="14.25" customHeight="1" spans="2:8">
      <c r="B23" s="19" t="s">
        <v>207</v>
      </c>
      <c r="C23" s="20" t="s">
        <v>208</v>
      </c>
      <c r="D23" s="35"/>
      <c r="E23" s="14">
        <v>10</v>
      </c>
      <c r="F23" s="14">
        <f t="shared" si="0"/>
        <v>0.2</v>
      </c>
      <c r="G23" s="35"/>
      <c r="H23" s="10" t="s">
        <v>209</v>
      </c>
    </row>
    <row r="24" ht="45" customHeight="1" spans="2:8">
      <c r="B24" s="19" t="s">
        <v>488</v>
      </c>
      <c r="C24" s="20" t="s">
        <v>489</v>
      </c>
      <c r="D24" s="35"/>
      <c r="E24" s="14">
        <v>1</v>
      </c>
      <c r="F24" s="14">
        <f t="shared" si="0"/>
        <v>0.02</v>
      </c>
      <c r="G24" s="35"/>
      <c r="H24" s="10" t="s">
        <v>490</v>
      </c>
    </row>
    <row r="25" ht="14.25" customHeight="1" spans="2:8">
      <c r="B25" s="19" t="s">
        <v>378</v>
      </c>
      <c r="C25" s="20" t="s">
        <v>379</v>
      </c>
      <c r="D25" s="37"/>
      <c r="E25" s="14">
        <v>0.1</v>
      </c>
      <c r="F25" s="14">
        <f t="shared" si="0"/>
        <v>0.002</v>
      </c>
      <c r="G25" s="37"/>
      <c r="H25" s="10" t="s">
        <v>398</v>
      </c>
    </row>
    <row r="26" ht="33.75" customHeight="1" spans="2:8">
      <c r="B26" s="17" t="s">
        <v>375</v>
      </c>
      <c r="C26" s="18" t="s">
        <v>376</v>
      </c>
      <c r="D26" s="14">
        <v>2</v>
      </c>
      <c r="E26" s="14">
        <v>10</v>
      </c>
      <c r="F26" s="14">
        <f t="shared" si="0"/>
        <v>0.2</v>
      </c>
      <c r="G26" s="14" t="s">
        <v>355</v>
      </c>
      <c r="H26" s="10" t="s">
        <v>491</v>
      </c>
    </row>
    <row r="27" ht="14.25" customHeight="1" spans="2:8">
      <c r="B27" s="56" t="s">
        <v>67</v>
      </c>
      <c r="C27" s="56" t="s">
        <v>292</v>
      </c>
      <c r="D27" s="35"/>
      <c r="E27" s="14">
        <v>68.7</v>
      </c>
      <c r="F27" s="14">
        <f t="shared" si="0"/>
        <v>1.374</v>
      </c>
      <c r="G27" s="35"/>
      <c r="H27" s="10" t="s">
        <v>70</v>
      </c>
    </row>
    <row r="28" ht="14.25" customHeight="1" spans="2:8">
      <c r="B28" s="19" t="s">
        <v>88</v>
      </c>
      <c r="C28" s="20" t="s">
        <v>89</v>
      </c>
      <c r="D28" s="35"/>
      <c r="E28" s="14">
        <v>15</v>
      </c>
      <c r="F28" s="14">
        <f t="shared" si="0"/>
        <v>0.3</v>
      </c>
      <c r="G28" s="35"/>
      <c r="H28" s="10" t="s">
        <v>90</v>
      </c>
    </row>
    <row r="29" ht="14.25" customHeight="1" spans="2:8">
      <c r="B29" s="15" t="s">
        <v>207</v>
      </c>
      <c r="C29" s="15" t="s">
        <v>208</v>
      </c>
      <c r="D29" s="35"/>
      <c r="E29" s="14">
        <v>5</v>
      </c>
      <c r="F29" s="14">
        <f t="shared" si="0"/>
        <v>0.1</v>
      </c>
      <c r="G29" s="35"/>
      <c r="H29" s="10" t="s">
        <v>209</v>
      </c>
    </row>
    <row r="30" ht="14.25" customHeight="1" spans="2:8">
      <c r="B30" s="19" t="s">
        <v>229</v>
      </c>
      <c r="C30" s="20" t="s">
        <v>230</v>
      </c>
      <c r="D30" s="35"/>
      <c r="E30" s="14">
        <v>0.3</v>
      </c>
      <c r="F30" s="14">
        <f t="shared" si="0"/>
        <v>0.006</v>
      </c>
      <c r="G30" s="35"/>
      <c r="H30" s="10" t="s">
        <v>231</v>
      </c>
    </row>
    <row r="31" ht="14.25" customHeight="1" spans="2:8">
      <c r="B31" s="19" t="s">
        <v>191</v>
      </c>
      <c r="C31" s="20" t="s">
        <v>192</v>
      </c>
      <c r="D31" s="37"/>
      <c r="E31" s="14">
        <v>1</v>
      </c>
      <c r="F31" s="14">
        <f t="shared" si="0"/>
        <v>0.02</v>
      </c>
      <c r="G31" s="37"/>
      <c r="H31" s="10" t="s">
        <v>193</v>
      </c>
    </row>
    <row r="32" ht="22.5" customHeight="1" spans="2:8">
      <c r="B32" s="19" t="s">
        <v>319</v>
      </c>
      <c r="C32" s="20" t="s">
        <v>320</v>
      </c>
      <c r="D32" s="14">
        <v>2</v>
      </c>
      <c r="E32" s="14">
        <v>100</v>
      </c>
      <c r="F32" s="14">
        <v>2</v>
      </c>
      <c r="G32" s="14" t="s">
        <v>355</v>
      </c>
      <c r="H32" s="10" t="s">
        <v>492</v>
      </c>
    </row>
    <row r="33" ht="22.5" customHeight="1" spans="2:8">
      <c r="B33" s="19" t="s">
        <v>493</v>
      </c>
      <c r="C33" s="20" t="s">
        <v>494</v>
      </c>
      <c r="D33" s="14">
        <v>2</v>
      </c>
      <c r="E33" s="14">
        <v>100</v>
      </c>
      <c r="F33" s="14">
        <v>2</v>
      </c>
      <c r="G33" s="14" t="s">
        <v>464</v>
      </c>
      <c r="H33" s="10" t="s">
        <v>495</v>
      </c>
    </row>
    <row r="34" ht="33.75" customHeight="1" spans="2:8">
      <c r="B34" s="19" t="s">
        <v>496</v>
      </c>
      <c r="C34" s="20" t="s">
        <v>497</v>
      </c>
      <c r="D34" s="14">
        <v>1.5</v>
      </c>
      <c r="E34" s="14">
        <v>100</v>
      </c>
      <c r="F34" s="14">
        <v>1.5</v>
      </c>
      <c r="G34" s="14" t="s">
        <v>307</v>
      </c>
      <c r="H34" s="21" t="s">
        <v>264</v>
      </c>
    </row>
    <row r="35" ht="78.75" customHeight="1" spans="2:8">
      <c r="B35" s="15" t="s">
        <v>322</v>
      </c>
      <c r="C35" s="15" t="s">
        <v>323</v>
      </c>
      <c r="D35" s="14">
        <v>1</v>
      </c>
      <c r="E35" s="14">
        <v>100</v>
      </c>
      <c r="F35" s="14">
        <v>1</v>
      </c>
      <c r="G35" s="9" t="s">
        <v>297</v>
      </c>
      <c r="H35" s="10" t="s">
        <v>478</v>
      </c>
    </row>
    <row r="36" ht="14.25" customHeight="1" spans="2:8">
      <c r="B36" s="19" t="s">
        <v>498</v>
      </c>
      <c r="C36" s="20" t="s">
        <v>499</v>
      </c>
      <c r="D36" s="14">
        <v>1</v>
      </c>
      <c r="E36" s="14">
        <v>100</v>
      </c>
      <c r="F36" s="14">
        <v>1</v>
      </c>
      <c r="G36" s="14" t="s">
        <v>464</v>
      </c>
      <c r="H36" s="10" t="s">
        <v>500</v>
      </c>
    </row>
    <row r="37" ht="14.25" customHeight="1" spans="2:8">
      <c r="B37" s="19" t="s">
        <v>501</v>
      </c>
      <c r="C37" s="20" t="s">
        <v>502</v>
      </c>
      <c r="D37" s="14">
        <v>1</v>
      </c>
      <c r="E37" s="14">
        <v>100</v>
      </c>
      <c r="F37" s="14">
        <v>1</v>
      </c>
      <c r="G37" s="14" t="s">
        <v>464</v>
      </c>
      <c r="H37" s="10" t="s">
        <v>503</v>
      </c>
    </row>
    <row r="38" ht="14.25" customHeight="1" spans="2:8">
      <c r="B38" s="15" t="s">
        <v>177</v>
      </c>
      <c r="C38" s="15" t="s">
        <v>178</v>
      </c>
      <c r="D38" s="14">
        <v>1</v>
      </c>
      <c r="E38" s="14">
        <v>100</v>
      </c>
      <c r="F38" s="14">
        <v>1</v>
      </c>
      <c r="G38" s="9" t="s">
        <v>504</v>
      </c>
      <c r="H38" s="10" t="s">
        <v>180</v>
      </c>
    </row>
    <row r="39" ht="78.75" customHeight="1" spans="2:8">
      <c r="B39" s="19" t="s">
        <v>505</v>
      </c>
      <c r="C39" s="20" t="s">
        <v>506</v>
      </c>
      <c r="D39" s="14">
        <v>1</v>
      </c>
      <c r="E39" s="14">
        <v>100</v>
      </c>
      <c r="F39" s="14">
        <v>1</v>
      </c>
      <c r="G39" s="14"/>
      <c r="H39" s="10" t="s">
        <v>507</v>
      </c>
    </row>
    <row r="40" ht="45" customHeight="1" spans="2:8">
      <c r="B40" s="57" t="s">
        <v>508</v>
      </c>
      <c r="C40" s="12" t="s">
        <v>509</v>
      </c>
      <c r="D40" s="14">
        <v>1</v>
      </c>
      <c r="E40" s="14">
        <v>3</v>
      </c>
      <c r="F40" s="14">
        <v>0.03</v>
      </c>
      <c r="G40" s="14" t="s">
        <v>355</v>
      </c>
      <c r="H40" s="10" t="s">
        <v>510</v>
      </c>
    </row>
    <row r="41" ht="33.75" customHeight="1" spans="2:8">
      <c r="B41" s="15" t="s">
        <v>278</v>
      </c>
      <c r="C41" s="15" t="s">
        <v>279</v>
      </c>
      <c r="D41" s="37"/>
      <c r="E41" s="14">
        <v>97</v>
      </c>
      <c r="F41" s="14">
        <v>0.97</v>
      </c>
      <c r="G41" s="37"/>
      <c r="H41" s="10" t="s">
        <v>511</v>
      </c>
    </row>
    <row r="42" ht="27" customHeight="1" spans="2:8">
      <c r="B42" s="15" t="s">
        <v>512</v>
      </c>
      <c r="C42" s="15" t="s">
        <v>513</v>
      </c>
      <c r="D42" s="14">
        <v>0.5</v>
      </c>
      <c r="E42" s="14">
        <v>100</v>
      </c>
      <c r="F42" s="14">
        <v>0.5</v>
      </c>
      <c r="G42" s="9" t="s">
        <v>307</v>
      </c>
      <c r="H42" s="10" t="s">
        <v>514</v>
      </c>
    </row>
    <row r="43" ht="14.25" customHeight="1" spans="2:8">
      <c r="B43" s="15" t="s">
        <v>378</v>
      </c>
      <c r="C43" s="15" t="s">
        <v>379</v>
      </c>
      <c r="D43" s="14">
        <v>0.5</v>
      </c>
      <c r="E43" s="58">
        <v>50</v>
      </c>
      <c r="F43" s="14">
        <f>E43*0.5/100</f>
        <v>0.25</v>
      </c>
      <c r="G43" s="59" t="s">
        <v>327</v>
      </c>
      <c r="H43" s="10" t="s">
        <v>398</v>
      </c>
    </row>
    <row r="44" ht="14.25" customHeight="1" spans="2:8">
      <c r="B44" s="15" t="s">
        <v>441</v>
      </c>
      <c r="C44" s="15" t="s">
        <v>442</v>
      </c>
      <c r="D44" s="35"/>
      <c r="E44" s="58">
        <v>10</v>
      </c>
      <c r="F44" s="14">
        <f>E44*0.5/100</f>
        <v>0.05</v>
      </c>
      <c r="G44" s="36"/>
      <c r="H44" s="10" t="s">
        <v>443</v>
      </c>
    </row>
    <row r="45" ht="14.25" customHeight="1" spans="2:8">
      <c r="B45" s="15" t="s">
        <v>515</v>
      </c>
      <c r="C45" s="15" t="s">
        <v>516</v>
      </c>
      <c r="D45" s="35"/>
      <c r="E45" s="58">
        <v>10</v>
      </c>
      <c r="F45" s="14">
        <f>E45*0.5/100</f>
        <v>0.05</v>
      </c>
      <c r="G45" s="36"/>
      <c r="H45" s="10" t="s">
        <v>517</v>
      </c>
    </row>
    <row r="46" ht="14.25" customHeight="1" spans="2:8">
      <c r="B46" s="15" t="s">
        <v>299</v>
      </c>
      <c r="C46" s="15" t="s">
        <v>300</v>
      </c>
      <c r="D46" s="35"/>
      <c r="E46" s="58">
        <v>20</v>
      </c>
      <c r="F46" s="14">
        <f>E46*0.5/100</f>
        <v>0.1</v>
      </c>
      <c r="G46" s="36"/>
      <c r="H46" s="10" t="s">
        <v>518</v>
      </c>
    </row>
    <row r="47" ht="14.25" customHeight="1" spans="2:8">
      <c r="B47" s="15" t="s">
        <v>329</v>
      </c>
      <c r="C47" s="15" t="s">
        <v>330</v>
      </c>
      <c r="D47" s="37"/>
      <c r="E47" s="58">
        <v>10</v>
      </c>
      <c r="F47" s="14">
        <f>E47*0.5/100</f>
        <v>0.05</v>
      </c>
      <c r="G47" s="38"/>
      <c r="H47" s="10" t="s">
        <v>434</v>
      </c>
    </row>
    <row r="48" ht="45" customHeight="1" spans="2:8">
      <c r="B48" s="19" t="s">
        <v>519</v>
      </c>
      <c r="C48" s="20" t="s">
        <v>520</v>
      </c>
      <c r="D48" s="14">
        <v>0.2</v>
      </c>
      <c r="E48" s="14">
        <v>100</v>
      </c>
      <c r="F48" s="14">
        <v>0.2</v>
      </c>
      <c r="G48" s="14" t="s">
        <v>355</v>
      </c>
      <c r="H48" s="10" t="s">
        <v>521</v>
      </c>
    </row>
    <row r="49" ht="14.25" customHeight="1" spans="2:8">
      <c r="B49" s="15" t="s">
        <v>413</v>
      </c>
      <c r="C49" s="15" t="s">
        <v>414</v>
      </c>
      <c r="D49" s="14">
        <v>0.15</v>
      </c>
      <c r="E49" s="14">
        <v>100</v>
      </c>
      <c r="F49" s="14">
        <v>0.15</v>
      </c>
      <c r="G49" s="9" t="s">
        <v>293</v>
      </c>
      <c r="H49" s="10" t="s">
        <v>415</v>
      </c>
    </row>
    <row r="50" ht="14.25" customHeight="1" spans="2:8">
      <c r="B50" s="15" t="s">
        <v>207</v>
      </c>
      <c r="C50" s="15" t="s">
        <v>208</v>
      </c>
      <c r="D50" s="14">
        <v>0.1</v>
      </c>
      <c r="E50" s="14">
        <v>30</v>
      </c>
      <c r="F50" s="14">
        <f>E50*0.1/100</f>
        <v>0.03</v>
      </c>
      <c r="G50" s="14" t="s">
        <v>355</v>
      </c>
      <c r="H50" s="10" t="s">
        <v>209</v>
      </c>
    </row>
    <row r="51" ht="14.25" customHeight="1" spans="2:8">
      <c r="B51" s="15" t="s">
        <v>67</v>
      </c>
      <c r="C51" s="15" t="s">
        <v>292</v>
      </c>
      <c r="D51" s="35"/>
      <c r="E51" s="14">
        <v>69.6</v>
      </c>
      <c r="F51" s="14">
        <f>E51*0.1/100</f>
        <v>0.0696</v>
      </c>
      <c r="G51" s="35"/>
      <c r="H51" s="10" t="s">
        <v>70</v>
      </c>
    </row>
    <row r="52" ht="27" customHeight="1" spans="2:8">
      <c r="B52" s="12" t="s">
        <v>265</v>
      </c>
      <c r="C52" s="12" t="s">
        <v>266</v>
      </c>
      <c r="D52" s="37"/>
      <c r="E52" s="14">
        <v>0.4</v>
      </c>
      <c r="F52" s="14">
        <f>E52*0.1/100</f>
        <v>0.0004</v>
      </c>
      <c r="G52" s="37"/>
      <c r="H52" s="10" t="s">
        <v>267</v>
      </c>
    </row>
    <row r="53" ht="22.5" customHeight="1" spans="2:8">
      <c r="B53" s="15" t="s">
        <v>271</v>
      </c>
      <c r="C53" s="15" t="s">
        <v>272</v>
      </c>
      <c r="D53" s="14">
        <v>0.05</v>
      </c>
      <c r="E53" s="14">
        <v>100</v>
      </c>
      <c r="F53" s="14">
        <v>0.05</v>
      </c>
      <c r="G53" s="9" t="s">
        <v>522</v>
      </c>
      <c r="H53" s="10" t="s">
        <v>523</v>
      </c>
    </row>
    <row r="54" ht="14.25" customHeight="1" spans="2:8">
      <c r="B54" s="19" t="s">
        <v>450</v>
      </c>
      <c r="C54" s="20" t="s">
        <v>451</v>
      </c>
      <c r="D54" s="14">
        <v>0.03</v>
      </c>
      <c r="E54" s="14">
        <v>100</v>
      </c>
      <c r="F54" s="14">
        <v>0.03</v>
      </c>
      <c r="G54" s="9" t="s">
        <v>358</v>
      </c>
      <c r="H54" s="21" t="s">
        <v>284</v>
      </c>
    </row>
  </sheetData>
  <mergeCells count="15">
    <mergeCell ref="A1:H1"/>
    <mergeCell ref="D8:D9"/>
    <mergeCell ref="D16:D17"/>
    <mergeCell ref="D19:D25"/>
    <mergeCell ref="D26:D31"/>
    <mergeCell ref="D40:D41"/>
    <mergeCell ref="D43:D47"/>
    <mergeCell ref="D50:D52"/>
    <mergeCell ref="G8:G9"/>
    <mergeCell ref="G16:G17"/>
    <mergeCell ref="G19:G25"/>
    <mergeCell ref="G26:G31"/>
    <mergeCell ref="G40:G41"/>
    <mergeCell ref="G43:G47"/>
    <mergeCell ref="G50:G5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workbookViewId="0">
      <selection activeCell="A1" sqref="A1:H1"/>
    </sheetView>
  </sheetViews>
  <sheetFormatPr defaultColWidth="9" defaultRowHeight="13.5" outlineLevelCol="7"/>
  <cols>
    <col min="1" max="1" width="9" style="1" customWidth="1"/>
    <col min="2" max="2" width="23" style="1" customWidth="1"/>
    <col min="3" max="3" width="25.375" style="1" customWidth="1"/>
    <col min="4" max="4" width="9" style="1" customWidth="1"/>
    <col min="5" max="5" width="16.5" style="1" customWidth="1"/>
    <col min="6" max="6" width="16.125" style="1" customWidth="1"/>
    <col min="7" max="7" width="17.625" style="1" customWidth="1"/>
    <col min="8" max="8" width="28.5416666666667" style="1" customWidth="1"/>
  </cols>
  <sheetData>
    <row r="1" ht="30" customHeight="1" spans="1:8">
      <c r="A1" s="2" t="s">
        <v>524</v>
      </c>
    </row>
    <row r="2" ht="24" customHeight="1" spans="1:8">
      <c r="A2" s="3" t="s">
        <v>59</v>
      </c>
      <c r="B2" s="30" t="s">
        <v>60</v>
      </c>
      <c r="C2" s="30" t="s">
        <v>61</v>
      </c>
      <c r="D2" s="30" t="s">
        <v>62</v>
      </c>
      <c r="E2" s="30" t="s">
        <v>63</v>
      </c>
      <c r="F2" s="30" t="s">
        <v>64</v>
      </c>
      <c r="G2" s="30" t="s">
        <v>65</v>
      </c>
      <c r="H2" s="30" t="s">
        <v>66</v>
      </c>
    </row>
    <row r="3" ht="14.25" customHeight="1" spans="1:8">
      <c r="A3" s="5"/>
      <c r="B3" s="31" t="s">
        <v>67</v>
      </c>
      <c r="C3" s="31" t="s">
        <v>68</v>
      </c>
      <c r="D3" s="31">
        <f>100-SUM(D4:D41)</f>
        <v>72.89</v>
      </c>
      <c r="E3" s="31">
        <v>100</v>
      </c>
      <c r="F3" s="31">
        <f>100-SUM(F4:F41)</f>
        <v>72.89</v>
      </c>
      <c r="G3" s="32" t="s">
        <v>286</v>
      </c>
      <c r="H3" s="32" t="s">
        <v>70</v>
      </c>
    </row>
    <row r="4" ht="14.25" customHeight="1" spans="1:8">
      <c r="A4" s="11"/>
      <c r="B4" s="33" t="s">
        <v>525</v>
      </c>
      <c r="C4" s="33" t="s">
        <v>526</v>
      </c>
      <c r="D4" s="32">
        <v>10</v>
      </c>
      <c r="E4" s="32">
        <v>100</v>
      </c>
      <c r="F4" s="32">
        <v>10</v>
      </c>
      <c r="G4" s="32" t="s">
        <v>293</v>
      </c>
      <c r="H4" s="32" t="s">
        <v>527</v>
      </c>
    </row>
    <row r="5" ht="14.25" customHeight="1" spans="1:8">
      <c r="A5" s="11"/>
      <c r="B5" s="33" t="s">
        <v>207</v>
      </c>
      <c r="C5" s="33" t="s">
        <v>208</v>
      </c>
      <c r="D5" s="32">
        <v>8</v>
      </c>
      <c r="E5" s="32">
        <v>100</v>
      </c>
      <c r="F5" s="32">
        <v>8</v>
      </c>
      <c r="G5" s="32" t="s">
        <v>293</v>
      </c>
      <c r="H5" s="32" t="s">
        <v>209</v>
      </c>
    </row>
    <row r="6" ht="14.25" customHeight="1" spans="1:8">
      <c r="A6" s="11"/>
      <c r="B6" s="32" t="s">
        <v>88</v>
      </c>
      <c r="C6" s="33" t="s">
        <v>89</v>
      </c>
      <c r="D6" s="32">
        <v>3</v>
      </c>
      <c r="E6" s="32">
        <v>50</v>
      </c>
      <c r="F6" s="32">
        <f t="shared" ref="F6:F12" si="0">3*E6/100</f>
        <v>1.5</v>
      </c>
      <c r="G6" s="32" t="s">
        <v>355</v>
      </c>
      <c r="H6" s="32" t="s">
        <v>90</v>
      </c>
    </row>
    <row r="7" ht="14.25" customHeight="1" spans="1:8">
      <c r="A7" s="11"/>
      <c r="B7" s="33" t="s">
        <v>67</v>
      </c>
      <c r="C7" s="33" t="s">
        <v>292</v>
      </c>
      <c r="D7" s="35"/>
      <c r="E7" s="32">
        <v>38.62</v>
      </c>
      <c r="F7" s="32">
        <f t="shared" si="0"/>
        <v>1.1586</v>
      </c>
      <c r="G7" s="35"/>
      <c r="H7" s="32" t="s">
        <v>70</v>
      </c>
    </row>
    <row r="8" ht="14.25" customHeight="1" spans="1:8">
      <c r="A8" s="11"/>
      <c r="B8" s="33" t="s">
        <v>299</v>
      </c>
      <c r="C8" s="33" t="s">
        <v>300</v>
      </c>
      <c r="D8" s="35"/>
      <c r="E8" s="32">
        <v>8</v>
      </c>
      <c r="F8" s="32">
        <f t="shared" si="0"/>
        <v>0.24</v>
      </c>
      <c r="G8" s="35"/>
      <c r="H8" s="32" t="s">
        <v>518</v>
      </c>
    </row>
    <row r="9" ht="28.5" customHeight="1" spans="1:8">
      <c r="A9" s="11"/>
      <c r="B9" s="33" t="s">
        <v>528</v>
      </c>
      <c r="C9" s="33" t="s">
        <v>529</v>
      </c>
      <c r="D9" s="35"/>
      <c r="E9" s="32">
        <v>2</v>
      </c>
      <c r="F9" s="32">
        <f t="shared" si="0"/>
        <v>0.06</v>
      </c>
      <c r="G9" s="35"/>
      <c r="H9" s="32" t="s">
        <v>530</v>
      </c>
    </row>
    <row r="10" ht="28.5" customHeight="1" spans="1:8">
      <c r="A10" s="11"/>
      <c r="B10" s="33" t="s">
        <v>531</v>
      </c>
      <c r="C10" s="33" t="s">
        <v>532</v>
      </c>
      <c r="D10" s="35"/>
      <c r="E10" s="32">
        <v>1</v>
      </c>
      <c r="F10" s="32">
        <f t="shared" si="0"/>
        <v>0.03</v>
      </c>
      <c r="G10" s="35"/>
      <c r="H10" s="32" t="s">
        <v>533</v>
      </c>
    </row>
    <row r="11" ht="14.25" customHeight="1" spans="1:8">
      <c r="A11" s="11"/>
      <c r="B11" s="33" t="s">
        <v>534</v>
      </c>
      <c r="C11" s="33" t="s">
        <v>535</v>
      </c>
      <c r="D11" s="35"/>
      <c r="E11" s="32">
        <v>0.3</v>
      </c>
      <c r="F11" s="32">
        <f t="shared" si="0"/>
        <v>0.009</v>
      </c>
      <c r="G11" s="35"/>
      <c r="H11" s="32" t="s">
        <v>536</v>
      </c>
    </row>
    <row r="12" ht="14.25" customHeight="1" spans="1:8">
      <c r="A12" s="11"/>
      <c r="B12" s="33" t="s">
        <v>441</v>
      </c>
      <c r="C12" s="33" t="s">
        <v>442</v>
      </c>
      <c r="D12" s="37"/>
      <c r="E12" s="32">
        <v>0.08</v>
      </c>
      <c r="F12" s="32">
        <f t="shared" si="0"/>
        <v>0.0024</v>
      </c>
      <c r="G12" s="37"/>
      <c r="H12" s="32" t="s">
        <v>443</v>
      </c>
    </row>
    <row r="13" ht="28.5" customHeight="1" spans="1:8">
      <c r="A13" s="11"/>
      <c r="B13" s="39" t="s">
        <v>537</v>
      </c>
      <c r="C13" s="39" t="s">
        <v>538</v>
      </c>
      <c r="D13" s="32">
        <v>1</v>
      </c>
      <c r="E13" s="32">
        <v>8</v>
      </c>
      <c r="F13" s="32">
        <f t="shared" ref="F13:F18" si="1">1*E13/100</f>
        <v>0.08</v>
      </c>
      <c r="G13" s="32" t="s">
        <v>355</v>
      </c>
      <c r="H13" s="48" t="s">
        <v>539</v>
      </c>
    </row>
    <row r="14" ht="14.25" customHeight="1" spans="1:8">
      <c r="A14" s="11"/>
      <c r="B14" s="33" t="s">
        <v>191</v>
      </c>
      <c r="C14" s="33" t="s">
        <v>192</v>
      </c>
      <c r="D14" s="35"/>
      <c r="E14" s="32">
        <v>0.6</v>
      </c>
      <c r="F14" s="32">
        <f t="shared" si="1"/>
        <v>0.006</v>
      </c>
      <c r="G14" s="35"/>
      <c r="H14" s="32" t="s">
        <v>193</v>
      </c>
    </row>
    <row r="15" ht="14.25" customHeight="1" spans="1:8">
      <c r="B15" s="33" t="s">
        <v>229</v>
      </c>
      <c r="C15" s="33" t="s">
        <v>230</v>
      </c>
      <c r="D15" s="35"/>
      <c r="E15" s="32">
        <v>0.6</v>
      </c>
      <c r="F15" s="32">
        <f t="shared" si="1"/>
        <v>0.006</v>
      </c>
      <c r="G15" s="35"/>
      <c r="H15" s="32" t="s">
        <v>231</v>
      </c>
    </row>
    <row r="16" ht="14.25" customHeight="1" spans="1:8">
      <c r="B16" s="33" t="s">
        <v>67</v>
      </c>
      <c r="C16" s="33" t="s">
        <v>292</v>
      </c>
      <c r="D16" s="37"/>
      <c r="E16" s="32">
        <v>90.8</v>
      </c>
      <c r="F16" s="32">
        <f t="shared" si="1"/>
        <v>0.908</v>
      </c>
      <c r="G16" s="37"/>
      <c r="H16" s="32" t="s">
        <v>70</v>
      </c>
    </row>
    <row r="17" ht="14.25" customHeight="1" spans="2:8">
      <c r="B17" s="39" t="s">
        <v>540</v>
      </c>
      <c r="C17" s="33" t="s">
        <v>541</v>
      </c>
      <c r="D17" s="32">
        <v>1</v>
      </c>
      <c r="E17" s="32">
        <v>4</v>
      </c>
      <c r="F17" s="32">
        <f t="shared" si="1"/>
        <v>0.04</v>
      </c>
      <c r="G17" s="32" t="s">
        <v>355</v>
      </c>
      <c r="H17" s="32" t="s">
        <v>542</v>
      </c>
    </row>
    <row r="18" ht="14.25" customHeight="1" spans="2:8">
      <c r="B18" s="33" t="s">
        <v>543</v>
      </c>
      <c r="C18" s="33" t="s">
        <v>544</v>
      </c>
      <c r="D18" s="37"/>
      <c r="E18" s="32">
        <v>96</v>
      </c>
      <c r="F18" s="32">
        <f t="shared" si="1"/>
        <v>0.96</v>
      </c>
      <c r="G18" s="37"/>
      <c r="H18" s="32" t="s">
        <v>545</v>
      </c>
    </row>
    <row r="19" ht="14.25" customHeight="1" spans="2:8">
      <c r="B19" s="33" t="s">
        <v>319</v>
      </c>
      <c r="C19" s="33" t="s">
        <v>320</v>
      </c>
      <c r="D19" s="32">
        <v>1</v>
      </c>
      <c r="E19" s="32">
        <v>100</v>
      </c>
      <c r="F19" s="32">
        <v>1</v>
      </c>
      <c r="G19" s="32" t="s">
        <v>293</v>
      </c>
      <c r="H19" s="32" t="s">
        <v>492</v>
      </c>
    </row>
    <row r="20" ht="14.25" customHeight="1" spans="2:8">
      <c r="B20" s="33" t="s">
        <v>220</v>
      </c>
      <c r="C20" s="33" t="s">
        <v>221</v>
      </c>
      <c r="D20" s="32">
        <v>1</v>
      </c>
      <c r="E20" s="32">
        <v>46</v>
      </c>
      <c r="F20" s="32">
        <f>1*E20/100</f>
        <v>0.46</v>
      </c>
      <c r="G20" s="32" t="s">
        <v>355</v>
      </c>
      <c r="H20" s="32" t="s">
        <v>222</v>
      </c>
    </row>
    <row r="21" ht="28.5" customHeight="1" spans="2:8">
      <c r="B21" s="39" t="s">
        <v>223</v>
      </c>
      <c r="C21" s="39" t="s">
        <v>224</v>
      </c>
      <c r="D21" s="37"/>
      <c r="E21" s="32">
        <v>54</v>
      </c>
      <c r="F21" s="32">
        <f>1*E21/100</f>
        <v>0.54</v>
      </c>
      <c r="G21" s="37"/>
      <c r="H21" s="32" t="s">
        <v>225</v>
      </c>
    </row>
    <row r="22" ht="28.5" customHeight="1" spans="2:8">
      <c r="B22" s="33" t="s">
        <v>546</v>
      </c>
      <c r="C22" s="33" t="s">
        <v>547</v>
      </c>
      <c r="D22" s="32">
        <v>0.6</v>
      </c>
      <c r="E22" s="32">
        <v>100</v>
      </c>
      <c r="F22" s="32">
        <v>0.6</v>
      </c>
      <c r="G22" s="32" t="s">
        <v>355</v>
      </c>
      <c r="H22" s="32" t="s">
        <v>548</v>
      </c>
    </row>
    <row r="23" ht="14.25" customHeight="1" spans="2:8">
      <c r="B23" s="33" t="s">
        <v>549</v>
      </c>
      <c r="C23" s="33" t="s">
        <v>550</v>
      </c>
      <c r="D23" s="32">
        <v>0.5</v>
      </c>
      <c r="E23" s="32">
        <v>3</v>
      </c>
      <c r="F23" s="32">
        <f>0.5*E23/100</f>
        <v>0.015</v>
      </c>
      <c r="G23" s="32" t="s">
        <v>327</v>
      </c>
      <c r="H23" s="49" t="s">
        <v>551</v>
      </c>
    </row>
    <row r="24" ht="14.25" customHeight="1" spans="2:8">
      <c r="B24" s="33" t="s">
        <v>329</v>
      </c>
      <c r="C24" s="33" t="s">
        <v>330</v>
      </c>
      <c r="D24" s="35"/>
      <c r="E24" s="32">
        <v>3</v>
      </c>
      <c r="F24" s="32">
        <f>0.5*E24/100</f>
        <v>0.015</v>
      </c>
      <c r="G24" s="35"/>
      <c r="H24" s="32" t="s">
        <v>434</v>
      </c>
    </row>
    <row r="25" ht="14.25" customHeight="1" spans="2:8">
      <c r="B25" s="33" t="s">
        <v>299</v>
      </c>
      <c r="C25" s="33" t="s">
        <v>300</v>
      </c>
      <c r="D25" s="35"/>
      <c r="E25" s="32">
        <v>74</v>
      </c>
      <c r="F25" s="32">
        <f>0.5*E25/100</f>
        <v>0.37</v>
      </c>
      <c r="G25" s="35"/>
      <c r="H25" s="32" t="s">
        <v>518</v>
      </c>
    </row>
    <row r="26" ht="14.25" customHeight="1" spans="2:8">
      <c r="B26" s="33" t="s">
        <v>67</v>
      </c>
      <c r="C26" s="33" t="s">
        <v>68</v>
      </c>
      <c r="D26" s="37"/>
      <c r="E26" s="32">
        <v>20</v>
      </c>
      <c r="F26" s="32">
        <f>0.5*E26/100</f>
        <v>0.1</v>
      </c>
      <c r="G26" s="37"/>
      <c r="H26" s="32" t="s">
        <v>70</v>
      </c>
    </row>
    <row r="27" ht="28.5" customHeight="1" spans="2:8">
      <c r="B27" s="33" t="s">
        <v>552</v>
      </c>
      <c r="C27" s="33" t="s">
        <v>553</v>
      </c>
      <c r="D27" s="32">
        <v>0.5</v>
      </c>
      <c r="E27" s="32">
        <v>100</v>
      </c>
      <c r="F27" s="32">
        <v>0.5</v>
      </c>
      <c r="G27" s="32" t="s">
        <v>554</v>
      </c>
      <c r="H27" s="32" t="s">
        <v>555</v>
      </c>
    </row>
    <row r="28" ht="28.5" customHeight="1" spans="2:8">
      <c r="B28" s="39" t="s">
        <v>256</v>
      </c>
      <c r="C28" s="39" t="s">
        <v>257</v>
      </c>
      <c r="D28" s="32">
        <v>0.15</v>
      </c>
      <c r="E28" s="32">
        <v>5</v>
      </c>
      <c r="F28" s="32">
        <f>0.15*E28/100</f>
        <v>0.0075</v>
      </c>
      <c r="G28" s="32" t="s">
        <v>556</v>
      </c>
      <c r="H28" s="48" t="s">
        <v>258</v>
      </c>
    </row>
    <row r="29" ht="14.25" customHeight="1" spans="2:8">
      <c r="B29" s="33" t="s">
        <v>207</v>
      </c>
      <c r="C29" s="33" t="s">
        <v>208</v>
      </c>
      <c r="D29" s="35"/>
      <c r="E29" s="32">
        <v>50</v>
      </c>
      <c r="F29" s="32">
        <f>0.15*E29/100</f>
        <v>0.075</v>
      </c>
      <c r="G29" s="35"/>
      <c r="H29" s="32" t="s">
        <v>209</v>
      </c>
    </row>
    <row r="30" ht="14.25" customHeight="1" spans="2:8">
      <c r="B30" s="33" t="s">
        <v>67</v>
      </c>
      <c r="C30" s="33" t="s">
        <v>292</v>
      </c>
      <c r="D30" s="37"/>
      <c r="E30" s="32">
        <v>45</v>
      </c>
      <c r="F30" s="32">
        <f>0.15*E30/100</f>
        <v>0.0675</v>
      </c>
      <c r="G30" s="37"/>
      <c r="H30" s="32" t="s">
        <v>70</v>
      </c>
    </row>
    <row r="31" ht="28.5" customHeight="1" spans="2:8">
      <c r="B31" s="39" t="s">
        <v>375</v>
      </c>
      <c r="C31" s="39" t="s">
        <v>376</v>
      </c>
      <c r="D31" s="32">
        <v>0.11</v>
      </c>
      <c r="E31" s="32">
        <v>10</v>
      </c>
      <c r="F31" s="32">
        <f t="shared" ref="F31:F36" si="2">0.11*E31/100</f>
        <v>0.011</v>
      </c>
      <c r="G31" s="32" t="s">
        <v>355</v>
      </c>
      <c r="H31" s="32" t="s">
        <v>491</v>
      </c>
    </row>
    <row r="32" ht="14.25" customHeight="1" spans="2:8">
      <c r="B32" s="32" t="s">
        <v>67</v>
      </c>
      <c r="C32" s="32" t="s">
        <v>292</v>
      </c>
      <c r="D32" s="35"/>
      <c r="E32" s="32">
        <v>68.7</v>
      </c>
      <c r="F32" s="32">
        <f t="shared" si="2"/>
        <v>0.07557</v>
      </c>
      <c r="G32" s="35"/>
      <c r="H32" s="32" t="s">
        <v>70</v>
      </c>
    </row>
    <row r="33" ht="14.25" customHeight="1" spans="2:8">
      <c r="B33" s="33" t="s">
        <v>88</v>
      </c>
      <c r="C33" s="33" t="s">
        <v>89</v>
      </c>
      <c r="D33" s="35"/>
      <c r="E33" s="32">
        <v>15</v>
      </c>
      <c r="F33" s="32">
        <f t="shared" si="2"/>
        <v>0.0165</v>
      </c>
      <c r="G33" s="35"/>
      <c r="H33" s="32" t="s">
        <v>90</v>
      </c>
    </row>
    <row r="34" ht="14.25" customHeight="1" spans="2:8">
      <c r="B34" s="33" t="s">
        <v>207</v>
      </c>
      <c r="C34" s="33" t="s">
        <v>208</v>
      </c>
      <c r="D34" s="35"/>
      <c r="E34" s="32">
        <v>5</v>
      </c>
      <c r="F34" s="32">
        <f t="shared" si="2"/>
        <v>0.0055</v>
      </c>
      <c r="G34" s="35"/>
      <c r="H34" s="32" t="s">
        <v>209</v>
      </c>
    </row>
    <row r="35" ht="14.25" customHeight="1" spans="2:8">
      <c r="B35" s="33" t="s">
        <v>229</v>
      </c>
      <c r="C35" s="33" t="s">
        <v>230</v>
      </c>
      <c r="D35" s="35"/>
      <c r="E35" s="32">
        <v>0.3</v>
      </c>
      <c r="F35" s="32">
        <f t="shared" si="2"/>
        <v>0.00033</v>
      </c>
      <c r="G35" s="35"/>
      <c r="H35" s="32" t="s">
        <v>231</v>
      </c>
    </row>
    <row r="36" ht="14.25" customHeight="1" spans="2:8">
      <c r="B36" s="33" t="s">
        <v>191</v>
      </c>
      <c r="C36" s="33" t="s">
        <v>192</v>
      </c>
      <c r="D36" s="37"/>
      <c r="E36" s="32">
        <v>1</v>
      </c>
      <c r="F36" s="32">
        <f t="shared" si="2"/>
        <v>0.0011</v>
      </c>
      <c r="G36" s="37"/>
      <c r="H36" s="32" t="s">
        <v>193</v>
      </c>
    </row>
    <row r="37" ht="14.25" customHeight="1" spans="2:8">
      <c r="B37" s="33" t="s">
        <v>441</v>
      </c>
      <c r="C37" s="33" t="s">
        <v>442</v>
      </c>
      <c r="D37" s="32">
        <v>0.1</v>
      </c>
      <c r="E37" s="32">
        <v>100</v>
      </c>
      <c r="F37" s="32">
        <v>0.1</v>
      </c>
      <c r="G37" s="32" t="s">
        <v>327</v>
      </c>
      <c r="H37" s="32" t="s">
        <v>443</v>
      </c>
    </row>
    <row r="38" ht="14.25" customHeight="1" spans="2:8">
      <c r="B38" s="33" t="s">
        <v>450</v>
      </c>
      <c r="C38" s="33" t="s">
        <v>451</v>
      </c>
      <c r="D38" s="32">
        <v>0.05</v>
      </c>
      <c r="E38" s="32">
        <v>100</v>
      </c>
      <c r="F38" s="32">
        <v>0.05</v>
      </c>
      <c r="G38" s="32" t="s">
        <v>358</v>
      </c>
      <c r="H38" s="48" t="s">
        <v>284</v>
      </c>
    </row>
    <row r="39" ht="14.25" customHeight="1" spans="2:8">
      <c r="B39" s="50" t="s">
        <v>557</v>
      </c>
      <c r="C39" s="50" t="s">
        <v>557</v>
      </c>
      <c r="D39" s="32">
        <v>0.04</v>
      </c>
      <c r="E39" s="32">
        <v>100</v>
      </c>
      <c r="F39" s="32">
        <v>0.04</v>
      </c>
      <c r="G39" s="32" t="s">
        <v>335</v>
      </c>
      <c r="H39" s="32" t="s">
        <v>558</v>
      </c>
    </row>
    <row r="40" ht="14.25" customHeight="1" spans="2:8">
      <c r="B40" s="33" t="s">
        <v>271</v>
      </c>
      <c r="C40" s="33" t="s">
        <v>272</v>
      </c>
      <c r="D40" s="32">
        <v>0.03</v>
      </c>
      <c r="E40" s="32">
        <v>100</v>
      </c>
      <c r="F40" s="32">
        <v>0.03</v>
      </c>
      <c r="G40" s="32" t="s">
        <v>522</v>
      </c>
      <c r="H40" s="32" t="s">
        <v>523</v>
      </c>
    </row>
    <row r="41" ht="14.25" customHeight="1" spans="2:8">
      <c r="B41" s="50" t="s">
        <v>559</v>
      </c>
      <c r="C41" s="50" t="s">
        <v>559</v>
      </c>
      <c r="D41" s="32">
        <v>0.03</v>
      </c>
      <c r="E41" s="32">
        <v>100</v>
      </c>
      <c r="F41" s="32">
        <v>0.03</v>
      </c>
      <c r="G41" s="32" t="s">
        <v>335</v>
      </c>
      <c r="H41" s="32" t="s">
        <v>560</v>
      </c>
    </row>
    <row r="42" ht="14.25" customHeight="1" spans="2:8">
      <c r="B42" s="14"/>
      <c r="C42" s="14"/>
      <c r="D42" s="51"/>
      <c r="E42" s="14"/>
      <c r="F42" s="14"/>
      <c r="G42" s="51"/>
      <c r="H42" s="10"/>
    </row>
    <row r="43" ht="14.25" customHeight="1" spans="2:8">
      <c r="B43" s="14"/>
      <c r="C43" s="14"/>
      <c r="D43" s="14"/>
      <c r="E43" s="14"/>
      <c r="F43" s="14"/>
      <c r="G43" s="14"/>
      <c r="H43" s="32"/>
    </row>
    <row r="44" ht="14.25" customHeight="1" spans="2:8">
      <c r="B44" s="14"/>
      <c r="C44" s="14"/>
      <c r="D44" s="51"/>
      <c r="E44" s="51"/>
      <c r="F44" s="14"/>
      <c r="G44" s="51"/>
      <c r="H44" s="32"/>
    </row>
    <row r="45" ht="14.25" customHeight="1" spans="2:8">
      <c r="B45" s="14"/>
      <c r="C45" s="14"/>
      <c r="D45" s="35"/>
      <c r="E45" s="51"/>
      <c r="F45" s="14"/>
      <c r="G45" s="35"/>
    </row>
    <row r="46" ht="14.25" customHeight="1" spans="2:8">
      <c r="B46" s="52"/>
      <c r="C46" s="52"/>
      <c r="D46" s="35"/>
      <c r="E46" s="51"/>
      <c r="F46" s="14"/>
      <c r="G46" s="35"/>
    </row>
    <row r="47" ht="14.25" customHeight="1" spans="2:8">
      <c r="B47" s="14"/>
      <c r="C47" s="14"/>
      <c r="D47" s="37"/>
      <c r="E47" s="51"/>
      <c r="F47" s="14"/>
      <c r="G47" s="37"/>
    </row>
    <row r="48" ht="14.25" customHeight="1" spans="2:8">
      <c r="B48" s="14"/>
      <c r="C48" s="14"/>
      <c r="D48" s="14"/>
      <c r="E48" s="14"/>
      <c r="F48" s="14"/>
      <c r="G48" s="14"/>
      <c r="H48" s="32"/>
    </row>
    <row r="49" ht="14.25" customHeight="1" spans="2:7">
      <c r="B49" s="14"/>
      <c r="C49" s="14"/>
      <c r="D49" s="35"/>
      <c r="E49" s="14"/>
      <c r="F49" s="14"/>
      <c r="G49" s="35"/>
    </row>
    <row r="50" ht="14.25" customHeight="1" spans="2:7">
      <c r="B50" s="52"/>
      <c r="C50" s="52"/>
      <c r="D50" s="35"/>
      <c r="E50" s="14"/>
      <c r="F50" s="14"/>
      <c r="G50" s="35"/>
    </row>
    <row r="51" ht="14.25" customHeight="1" spans="2:7">
      <c r="B51" s="14"/>
      <c r="C51" s="14"/>
      <c r="D51" s="37"/>
      <c r="E51" s="14"/>
      <c r="F51" s="14"/>
      <c r="G51" s="37"/>
    </row>
  </sheetData>
  <mergeCells count="19">
    <mergeCell ref="A1:H1"/>
    <mergeCell ref="D6:D12"/>
    <mergeCell ref="D13:D16"/>
    <mergeCell ref="D17:D18"/>
    <mergeCell ref="D20:D21"/>
    <mergeCell ref="D23:D26"/>
    <mergeCell ref="D28:D30"/>
    <mergeCell ref="D31:D36"/>
    <mergeCell ref="D44:D47"/>
    <mergeCell ref="D48:D51"/>
    <mergeCell ref="G6:G12"/>
    <mergeCell ref="G13:G16"/>
    <mergeCell ref="G17:G18"/>
    <mergeCell ref="G20:G21"/>
    <mergeCell ref="G23:G26"/>
    <mergeCell ref="G28:G30"/>
    <mergeCell ref="G31:G36"/>
    <mergeCell ref="G44:G47"/>
    <mergeCell ref="G48:G5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workbookViewId="0">
      <selection activeCell="A1" sqref="A1:H1"/>
    </sheetView>
  </sheetViews>
  <sheetFormatPr defaultColWidth="9" defaultRowHeight="13.5" outlineLevelCol="7"/>
  <cols>
    <col min="1" max="1" width="9" style="1" customWidth="1"/>
    <col min="2" max="2" width="23" style="1" customWidth="1"/>
    <col min="3" max="3" width="25.375" style="1" customWidth="1"/>
    <col min="4" max="4" width="9" style="1" customWidth="1"/>
    <col min="5" max="5" width="16.5" style="1" customWidth="1"/>
    <col min="6" max="6" width="16.125" style="1" customWidth="1"/>
    <col min="7" max="7" width="17.625" style="1" customWidth="1"/>
    <col min="8" max="8" width="27.1833333333333" style="1" customWidth="1"/>
  </cols>
  <sheetData>
    <row r="1" ht="30" customHeight="1" spans="1:8">
      <c r="A1" s="2" t="s">
        <v>561</v>
      </c>
    </row>
    <row r="2" ht="24" customHeight="1" spans="1:8">
      <c r="A2" s="3" t="s">
        <v>59</v>
      </c>
      <c r="B2" s="30" t="s">
        <v>60</v>
      </c>
      <c r="C2" s="30" t="s">
        <v>61</v>
      </c>
      <c r="D2" s="30" t="s">
        <v>62</v>
      </c>
      <c r="E2" s="30" t="s">
        <v>63</v>
      </c>
      <c r="F2" s="30" t="s">
        <v>64</v>
      </c>
      <c r="G2" s="30" t="s">
        <v>65</v>
      </c>
      <c r="H2" s="30" t="s">
        <v>66</v>
      </c>
    </row>
    <row r="3" ht="14.25" customHeight="1" spans="1:8">
      <c r="A3" s="5"/>
      <c r="B3" s="31" t="s">
        <v>67</v>
      </c>
      <c r="C3" s="31" t="s">
        <v>68</v>
      </c>
      <c r="D3" s="31">
        <f>100-SUM(D4:D31)</f>
        <v>82.56</v>
      </c>
      <c r="E3" s="31">
        <v>100</v>
      </c>
      <c r="F3" s="31">
        <f>100-SUM(F4:F33)</f>
        <v>82.56</v>
      </c>
      <c r="G3" s="32" t="s">
        <v>286</v>
      </c>
      <c r="H3" s="32" t="s">
        <v>70</v>
      </c>
    </row>
    <row r="4" ht="14.25" customHeight="1" spans="1:8">
      <c r="A4" s="11"/>
      <c r="B4" s="33" t="s">
        <v>88</v>
      </c>
      <c r="C4" s="33" t="s">
        <v>89</v>
      </c>
      <c r="D4" s="32">
        <v>6</v>
      </c>
      <c r="E4" s="32">
        <v>100</v>
      </c>
      <c r="F4" s="32">
        <v>6</v>
      </c>
      <c r="G4" s="32" t="s">
        <v>293</v>
      </c>
      <c r="H4" s="32" t="s">
        <v>90</v>
      </c>
    </row>
    <row r="5" ht="14.25" customHeight="1" spans="1:8">
      <c r="A5" s="11"/>
      <c r="B5" s="33" t="s">
        <v>207</v>
      </c>
      <c r="C5" s="33" t="s">
        <v>208</v>
      </c>
      <c r="D5" s="32">
        <v>5</v>
      </c>
      <c r="E5" s="32">
        <v>100</v>
      </c>
      <c r="F5" s="32">
        <v>5</v>
      </c>
      <c r="G5" s="32" t="s">
        <v>293</v>
      </c>
      <c r="H5" s="32" t="s">
        <v>209</v>
      </c>
    </row>
    <row r="6" ht="14.25" customHeight="1" spans="1:8">
      <c r="A6" s="11"/>
      <c r="B6" s="33" t="s">
        <v>562</v>
      </c>
      <c r="C6" s="33" t="s">
        <v>563</v>
      </c>
      <c r="D6" s="32">
        <v>3</v>
      </c>
      <c r="E6" s="32">
        <v>100</v>
      </c>
      <c r="F6" s="32">
        <v>3</v>
      </c>
      <c r="G6" s="32" t="s">
        <v>293</v>
      </c>
      <c r="H6" s="32" t="s">
        <v>564</v>
      </c>
    </row>
    <row r="7" ht="14.25" customHeight="1" spans="1:8">
      <c r="A7" s="11"/>
      <c r="B7" s="33" t="s">
        <v>378</v>
      </c>
      <c r="C7" s="33" t="s">
        <v>379</v>
      </c>
      <c r="D7" s="32">
        <v>0.5</v>
      </c>
      <c r="E7" s="32">
        <v>100</v>
      </c>
      <c r="F7" s="32">
        <v>0.5</v>
      </c>
      <c r="G7" s="32" t="s">
        <v>327</v>
      </c>
      <c r="H7" s="32" t="s">
        <v>398</v>
      </c>
    </row>
    <row r="8" ht="14.25" customHeight="1" spans="1:8">
      <c r="A8" s="11"/>
      <c r="B8" s="33" t="s">
        <v>217</v>
      </c>
      <c r="C8" s="33" t="s">
        <v>218</v>
      </c>
      <c r="D8" s="32">
        <v>0.5</v>
      </c>
      <c r="E8" s="32">
        <v>100</v>
      </c>
      <c r="F8" s="32">
        <v>0.5</v>
      </c>
      <c r="G8" s="32" t="s">
        <v>355</v>
      </c>
      <c r="H8" s="32" t="s">
        <v>219</v>
      </c>
    </row>
    <row r="9" ht="14.25" customHeight="1" spans="1:8">
      <c r="A9" s="11"/>
      <c r="B9" s="33" t="s">
        <v>384</v>
      </c>
      <c r="C9" s="33" t="s">
        <v>385</v>
      </c>
      <c r="D9" s="32">
        <v>1</v>
      </c>
      <c r="E9" s="32">
        <v>43</v>
      </c>
      <c r="F9" s="32">
        <f>E9*1/100</f>
        <v>0.43</v>
      </c>
      <c r="G9" s="34" t="s">
        <v>293</v>
      </c>
      <c r="H9" s="32" t="s">
        <v>386</v>
      </c>
    </row>
    <row r="10" ht="14.25" customHeight="1" spans="1:8">
      <c r="A10" s="11"/>
      <c r="B10" s="33" t="s">
        <v>387</v>
      </c>
      <c r="C10" s="33" t="s">
        <v>388</v>
      </c>
      <c r="D10" s="35"/>
      <c r="E10" s="32">
        <v>32</v>
      </c>
      <c r="F10" s="32">
        <f>E10*1/100</f>
        <v>0.32</v>
      </c>
      <c r="G10" s="36"/>
      <c r="H10" s="32" t="s">
        <v>389</v>
      </c>
    </row>
    <row r="11" ht="14.25" customHeight="1" spans="1:8">
      <c r="A11" s="11"/>
      <c r="B11" s="33" t="s">
        <v>390</v>
      </c>
      <c r="C11" s="33" t="s">
        <v>391</v>
      </c>
      <c r="D11" s="35"/>
      <c r="E11" s="32">
        <v>15</v>
      </c>
      <c r="F11" s="32">
        <f>E11*1/100</f>
        <v>0.15</v>
      </c>
      <c r="G11" s="36"/>
      <c r="H11" s="32" t="s">
        <v>392</v>
      </c>
    </row>
    <row r="12" ht="14.25" customHeight="1" spans="1:8">
      <c r="A12" s="11"/>
      <c r="B12" s="33" t="s">
        <v>67</v>
      </c>
      <c r="C12" s="33" t="s">
        <v>292</v>
      </c>
      <c r="D12" s="37"/>
      <c r="E12" s="32">
        <v>10</v>
      </c>
      <c r="F12" s="32">
        <f>E12*1/100</f>
        <v>0.1</v>
      </c>
      <c r="G12" s="38"/>
      <c r="H12" s="32" t="s">
        <v>70</v>
      </c>
    </row>
    <row r="13" ht="14.25" customHeight="1" spans="1:8">
      <c r="A13" s="11"/>
      <c r="B13" s="33" t="s">
        <v>220</v>
      </c>
      <c r="C13" s="33" t="s">
        <v>221</v>
      </c>
      <c r="D13" s="32">
        <v>0.5</v>
      </c>
      <c r="E13" s="32">
        <v>46</v>
      </c>
      <c r="F13" s="32">
        <f>0.5*E13/100</f>
        <v>0.23</v>
      </c>
      <c r="G13" s="32" t="s">
        <v>355</v>
      </c>
      <c r="H13" s="32" t="s">
        <v>222</v>
      </c>
    </row>
    <row r="14" ht="28.5" customHeight="1" spans="1:8">
      <c r="A14" s="11"/>
      <c r="B14" s="39" t="s">
        <v>223</v>
      </c>
      <c r="C14" s="39" t="s">
        <v>224</v>
      </c>
      <c r="D14" s="37"/>
      <c r="E14" s="32">
        <v>54</v>
      </c>
      <c r="F14" s="32">
        <f>0.5*E14/100</f>
        <v>0.27</v>
      </c>
      <c r="G14" s="37"/>
      <c r="H14" s="32" t="s">
        <v>225</v>
      </c>
    </row>
    <row r="15" ht="28.5" customHeight="1" spans="1:8">
      <c r="B15" s="39" t="s">
        <v>565</v>
      </c>
      <c r="C15" s="39" t="s">
        <v>566</v>
      </c>
      <c r="D15" s="32">
        <v>0.15</v>
      </c>
      <c r="E15" s="32">
        <v>100</v>
      </c>
      <c r="F15" s="32">
        <v>0.15</v>
      </c>
      <c r="G15" s="32" t="s">
        <v>355</v>
      </c>
      <c r="H15" s="32" t="s">
        <v>567</v>
      </c>
    </row>
    <row r="16" ht="14.25" customHeight="1" spans="1:8">
      <c r="B16" s="40" t="s">
        <v>232</v>
      </c>
      <c r="C16" s="40" t="s">
        <v>233</v>
      </c>
      <c r="D16" s="41">
        <v>0.11</v>
      </c>
      <c r="E16" s="41">
        <v>100</v>
      </c>
      <c r="F16" s="41">
        <v>0.11</v>
      </c>
      <c r="G16" s="41" t="s">
        <v>355</v>
      </c>
      <c r="H16" s="32" t="s">
        <v>568</v>
      </c>
    </row>
    <row r="17" ht="14.25" customHeight="1" spans="2:8">
      <c r="B17" s="33" t="s">
        <v>71</v>
      </c>
      <c r="C17" s="33" t="s">
        <v>72</v>
      </c>
      <c r="D17" s="32">
        <v>0.1</v>
      </c>
      <c r="E17" s="32">
        <v>100</v>
      </c>
      <c r="F17" s="32">
        <v>0.1</v>
      </c>
      <c r="G17" s="32" t="s">
        <v>355</v>
      </c>
      <c r="H17" s="32" t="s">
        <v>74</v>
      </c>
    </row>
    <row r="18" ht="14.25" customHeight="1" spans="2:8">
      <c r="B18" s="33" t="s">
        <v>569</v>
      </c>
      <c r="C18" s="33" t="s">
        <v>570</v>
      </c>
      <c r="D18" s="32">
        <v>0.1</v>
      </c>
      <c r="E18" s="32">
        <v>100</v>
      </c>
      <c r="F18" s="32">
        <v>0.1</v>
      </c>
      <c r="G18" s="32" t="s">
        <v>355</v>
      </c>
      <c r="H18" s="32" t="s">
        <v>571</v>
      </c>
    </row>
    <row r="19" ht="14.25" customHeight="1" spans="2:8">
      <c r="B19" s="33" t="s">
        <v>395</v>
      </c>
      <c r="C19" s="33" t="s">
        <v>396</v>
      </c>
      <c r="D19" s="32">
        <v>0.1</v>
      </c>
      <c r="E19" s="32">
        <v>100</v>
      </c>
      <c r="F19" s="32">
        <v>0.1</v>
      </c>
      <c r="G19" s="32" t="s">
        <v>504</v>
      </c>
      <c r="H19" s="32" t="s">
        <v>397</v>
      </c>
    </row>
    <row r="20" ht="14.25" customHeight="1" spans="2:8">
      <c r="B20" s="33" t="s">
        <v>413</v>
      </c>
      <c r="C20" s="33" t="s">
        <v>414</v>
      </c>
      <c r="D20" s="32">
        <v>0.1</v>
      </c>
      <c r="E20" s="32">
        <v>100</v>
      </c>
      <c r="F20" s="32">
        <v>0.1</v>
      </c>
      <c r="G20" s="32" t="s">
        <v>293</v>
      </c>
      <c r="H20" s="32" t="s">
        <v>415</v>
      </c>
    </row>
    <row r="21" ht="14.25" customHeight="1" spans="2:8">
      <c r="B21" s="33" t="s">
        <v>271</v>
      </c>
      <c r="C21" s="33" t="s">
        <v>272</v>
      </c>
      <c r="D21" s="32">
        <v>0.05</v>
      </c>
      <c r="E21" s="32">
        <v>100</v>
      </c>
      <c r="F21" s="32">
        <v>0.05</v>
      </c>
      <c r="G21" s="32" t="s">
        <v>522</v>
      </c>
      <c r="H21" s="32" t="s">
        <v>523</v>
      </c>
    </row>
    <row r="22" ht="14.25" customHeight="1" spans="2:8">
      <c r="B22" s="33" t="s">
        <v>214</v>
      </c>
      <c r="C22" s="33" t="s">
        <v>215</v>
      </c>
      <c r="D22" s="32">
        <v>0.05</v>
      </c>
      <c r="E22" s="32">
        <v>0.1</v>
      </c>
      <c r="F22" s="32">
        <f>0.05*E22/100</f>
        <v>5e-5</v>
      </c>
      <c r="G22" s="32" t="s">
        <v>355</v>
      </c>
      <c r="H22" s="32" t="s">
        <v>216</v>
      </c>
    </row>
    <row r="23" ht="14.25" customHeight="1" spans="2:8">
      <c r="B23" s="33" t="s">
        <v>207</v>
      </c>
      <c r="C23" s="33" t="s">
        <v>208</v>
      </c>
      <c r="D23" s="37"/>
      <c r="E23" s="32">
        <v>99.9</v>
      </c>
      <c r="F23" s="32">
        <f>0.05*E23/100</f>
        <v>0.04995</v>
      </c>
      <c r="G23" s="37"/>
      <c r="H23" s="32" t="s">
        <v>209</v>
      </c>
    </row>
    <row r="24" ht="28.5" customHeight="1" spans="2:8">
      <c r="B24" s="33" t="s">
        <v>572</v>
      </c>
      <c r="C24" s="33" t="s">
        <v>573</v>
      </c>
      <c r="D24" s="32">
        <v>0.05</v>
      </c>
      <c r="E24" s="32">
        <v>100</v>
      </c>
      <c r="F24" s="32">
        <v>0.05</v>
      </c>
      <c r="G24" s="32" t="s">
        <v>355</v>
      </c>
      <c r="H24" s="32" t="s">
        <v>574</v>
      </c>
    </row>
    <row r="25" ht="14.25" customHeight="1" spans="2:8">
      <c r="B25" s="33" t="s">
        <v>441</v>
      </c>
      <c r="C25" s="33" t="s">
        <v>442</v>
      </c>
      <c r="D25" s="32">
        <v>0.1</v>
      </c>
      <c r="E25" s="32">
        <v>100</v>
      </c>
      <c r="F25" s="32">
        <v>0.1</v>
      </c>
      <c r="G25" s="32" t="s">
        <v>327</v>
      </c>
      <c r="H25" s="32" t="s">
        <v>443</v>
      </c>
    </row>
    <row r="26" ht="14.25" customHeight="1" spans="2:8">
      <c r="B26" s="33" t="s">
        <v>207</v>
      </c>
      <c r="C26" s="33" t="s">
        <v>208</v>
      </c>
      <c r="D26" s="32">
        <v>0.01</v>
      </c>
      <c r="E26" s="32">
        <v>30</v>
      </c>
      <c r="F26" s="32">
        <f t="shared" ref="F26:F33" si="0">0.01*E26/100</f>
        <v>0.003</v>
      </c>
      <c r="G26" s="32" t="s">
        <v>355</v>
      </c>
      <c r="H26" s="32" t="s">
        <v>209</v>
      </c>
    </row>
    <row r="27" ht="14.25" customHeight="1" spans="2:8">
      <c r="B27" s="33" t="s">
        <v>67</v>
      </c>
      <c r="C27" s="33" t="s">
        <v>292</v>
      </c>
      <c r="D27" s="35"/>
      <c r="E27" s="32">
        <v>69.6</v>
      </c>
      <c r="F27" s="32">
        <f t="shared" si="0"/>
        <v>0.00696</v>
      </c>
      <c r="G27" s="35"/>
      <c r="H27" s="32" t="s">
        <v>70</v>
      </c>
    </row>
    <row r="28" ht="28.5" customHeight="1" spans="2:8">
      <c r="B28" s="39" t="s">
        <v>265</v>
      </c>
      <c r="C28" s="39" t="s">
        <v>266</v>
      </c>
      <c r="D28" s="37"/>
      <c r="E28" s="32">
        <v>0.4</v>
      </c>
      <c r="F28" s="32">
        <f t="shared" si="0"/>
        <v>4e-5</v>
      </c>
      <c r="G28" s="37"/>
      <c r="H28" s="32" t="s">
        <v>267</v>
      </c>
    </row>
    <row r="29" ht="28.5" customHeight="1" spans="2:8">
      <c r="B29" s="42" t="s">
        <v>508</v>
      </c>
      <c r="C29" s="39" t="s">
        <v>509</v>
      </c>
      <c r="D29" s="32">
        <v>0.01</v>
      </c>
      <c r="E29" s="32">
        <v>3</v>
      </c>
      <c r="F29" s="32">
        <f t="shared" si="0"/>
        <v>0.0003</v>
      </c>
      <c r="G29" s="32" t="s">
        <v>355</v>
      </c>
      <c r="H29" s="32" t="s">
        <v>510</v>
      </c>
    </row>
    <row r="30" ht="14.25" customHeight="1" spans="2:8">
      <c r="B30" s="33" t="s">
        <v>278</v>
      </c>
      <c r="C30" s="33" t="s">
        <v>279</v>
      </c>
      <c r="D30" s="37"/>
      <c r="E30" s="32">
        <v>97</v>
      </c>
      <c r="F30" s="32">
        <f t="shared" si="0"/>
        <v>0.0097</v>
      </c>
      <c r="G30" s="37"/>
      <c r="H30" s="32" t="s">
        <v>511</v>
      </c>
    </row>
    <row r="31" ht="28.5" customHeight="1" spans="2:8">
      <c r="B31" s="39" t="s">
        <v>256</v>
      </c>
      <c r="C31" s="39" t="s">
        <v>257</v>
      </c>
      <c r="D31" s="32">
        <v>0.01</v>
      </c>
      <c r="E31" s="32">
        <v>5</v>
      </c>
      <c r="F31" s="32">
        <f t="shared" si="0"/>
        <v>0.0005</v>
      </c>
      <c r="G31" s="32" t="s">
        <v>556</v>
      </c>
      <c r="H31" s="14" t="s">
        <v>258</v>
      </c>
    </row>
    <row r="32" ht="14.25" customHeight="1" spans="2:8">
      <c r="B32" s="33" t="s">
        <v>207</v>
      </c>
      <c r="C32" s="33" t="s">
        <v>208</v>
      </c>
      <c r="D32" s="35"/>
      <c r="E32" s="32">
        <v>50</v>
      </c>
      <c r="F32" s="32">
        <f t="shared" si="0"/>
        <v>0.005</v>
      </c>
      <c r="G32" s="35"/>
      <c r="H32" s="32" t="s">
        <v>209</v>
      </c>
    </row>
    <row r="33" ht="14.25" customHeight="1" spans="2:8">
      <c r="B33" s="33" t="s">
        <v>67</v>
      </c>
      <c r="C33" s="33" t="s">
        <v>292</v>
      </c>
      <c r="D33" s="37"/>
      <c r="E33" s="32">
        <v>45</v>
      </c>
      <c r="F33" s="32">
        <f t="shared" si="0"/>
        <v>0.0045</v>
      </c>
      <c r="G33" s="37"/>
      <c r="H33" s="32" t="s">
        <v>70</v>
      </c>
    </row>
    <row r="34" ht="14.25" customHeight="1" spans="2:8">
      <c r="B34" s="43"/>
      <c r="C34" s="43"/>
      <c r="D34" s="14"/>
      <c r="E34" s="14"/>
      <c r="F34" s="14"/>
      <c r="G34" s="14"/>
      <c r="H34" s="14"/>
    </row>
    <row r="35" ht="14.25" customHeight="1" spans="2:8">
      <c r="B35" s="43"/>
      <c r="C35" s="43"/>
      <c r="D35" s="14"/>
      <c r="E35" s="14"/>
      <c r="F35" s="14"/>
      <c r="G35" s="14"/>
      <c r="H35" s="14"/>
    </row>
    <row r="36" ht="14.25" customHeight="1" spans="2:8">
      <c r="B36" s="44"/>
      <c r="C36" s="44"/>
      <c r="D36" s="14"/>
      <c r="E36" s="14"/>
      <c r="F36" s="14"/>
      <c r="G36" s="14"/>
      <c r="H36" s="45"/>
    </row>
    <row r="37" ht="14.25" customHeight="1" spans="2:8">
      <c r="B37" s="44"/>
      <c r="C37" s="44"/>
      <c r="D37" s="14"/>
      <c r="E37" s="14"/>
      <c r="F37" s="14"/>
      <c r="G37" s="14"/>
      <c r="H37" s="46"/>
    </row>
    <row r="38" ht="14.25" customHeight="1" spans="2:8">
      <c r="B38" s="44"/>
      <c r="C38" s="44"/>
      <c r="D38" s="14"/>
      <c r="E38" s="14"/>
      <c r="F38" s="14"/>
      <c r="G38" s="14"/>
      <c r="H38" s="47"/>
    </row>
    <row r="39" ht="14.25" customHeight="1" spans="2:8">
      <c r="B39" s="44"/>
      <c r="C39" s="44"/>
      <c r="D39" s="14"/>
      <c r="E39" s="14"/>
      <c r="F39" s="14"/>
      <c r="G39" s="14"/>
      <c r="H39" s="45"/>
    </row>
  </sheetData>
  <mergeCells count="13">
    <mergeCell ref="A1:H1"/>
    <mergeCell ref="D9:D12"/>
    <mergeCell ref="D13:D14"/>
    <mergeCell ref="D22:D23"/>
    <mergeCell ref="D26:D28"/>
    <mergeCell ref="D29:D30"/>
    <mergeCell ref="D31:D33"/>
    <mergeCell ref="G9:G12"/>
    <mergeCell ref="G13:G14"/>
    <mergeCell ref="G22:G23"/>
    <mergeCell ref="G26:G28"/>
    <mergeCell ref="G29:G30"/>
    <mergeCell ref="G31:G3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workbookViewId="0">
      <selection activeCell="A1" sqref="A1:H1"/>
    </sheetView>
  </sheetViews>
  <sheetFormatPr defaultColWidth="9" defaultRowHeight="13.5" outlineLevelCol="7"/>
  <cols>
    <col min="1" max="1" width="9" style="1" customWidth="1"/>
    <col min="2" max="2" width="23" style="1" customWidth="1"/>
    <col min="3" max="3" width="25.375" style="1" customWidth="1"/>
    <col min="4" max="4" width="9" style="1" customWidth="1"/>
    <col min="5" max="5" width="16.5" style="1" customWidth="1"/>
    <col min="6" max="6" width="16.125" style="1" customWidth="1"/>
    <col min="7" max="7" width="17.625" style="1" customWidth="1"/>
    <col min="8" max="8" width="9" style="1" customWidth="1"/>
  </cols>
  <sheetData>
    <row r="1" ht="30" customHeight="1" spans="1:8">
      <c r="A1" s="2" t="s">
        <v>575</v>
      </c>
    </row>
    <row r="2" ht="24" customHeight="1" spans="1:8">
      <c r="A2" s="3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ht="14.25" customHeight="1" spans="1:8">
      <c r="A3" s="5"/>
      <c r="B3" s="6" t="s">
        <v>453</v>
      </c>
      <c r="C3" s="6" t="s">
        <v>454</v>
      </c>
      <c r="D3" s="7">
        <f>100-SUM(D4:D20)</f>
        <v>73.45</v>
      </c>
      <c r="E3" s="8">
        <v>100</v>
      </c>
      <c r="F3" s="8">
        <f>100-SUM(F4:F20)</f>
        <v>73.45</v>
      </c>
      <c r="G3" s="9" t="s">
        <v>297</v>
      </c>
      <c r="H3" s="10" t="s">
        <v>455</v>
      </c>
    </row>
    <row r="4" ht="27" customHeight="1" spans="1:8">
      <c r="A4" s="11"/>
      <c r="B4" s="12" t="s">
        <v>459</v>
      </c>
      <c r="C4" s="12" t="s">
        <v>460</v>
      </c>
      <c r="D4" s="13">
        <v>10</v>
      </c>
      <c r="E4" s="14">
        <v>100</v>
      </c>
      <c r="F4" s="14">
        <v>10</v>
      </c>
      <c r="G4" s="9" t="s">
        <v>355</v>
      </c>
      <c r="H4" s="10" t="s">
        <v>461</v>
      </c>
    </row>
    <row r="5" ht="14.25" customHeight="1" spans="1:8">
      <c r="A5" s="11"/>
      <c r="B5" s="15" t="s">
        <v>456</v>
      </c>
      <c r="C5" s="15" t="s">
        <v>457</v>
      </c>
      <c r="D5" s="13">
        <v>5</v>
      </c>
      <c r="E5" s="14">
        <v>100</v>
      </c>
      <c r="F5" s="14">
        <v>5</v>
      </c>
      <c r="G5" s="9" t="s">
        <v>297</v>
      </c>
      <c r="H5" s="16">
        <v>909554</v>
      </c>
    </row>
    <row r="6" ht="14.25" customHeight="1" spans="1:8">
      <c r="A6" s="11"/>
      <c r="B6" s="15" t="s">
        <v>322</v>
      </c>
      <c r="C6" s="15" t="s">
        <v>323</v>
      </c>
      <c r="D6" s="13">
        <v>2</v>
      </c>
      <c r="E6" s="14">
        <v>100</v>
      </c>
      <c r="F6" s="14">
        <v>2</v>
      </c>
      <c r="G6" s="9" t="s">
        <v>297</v>
      </c>
      <c r="H6" s="10" t="s">
        <v>576</v>
      </c>
    </row>
    <row r="7" ht="27" customHeight="1" spans="1:8">
      <c r="A7" s="11"/>
      <c r="B7" s="12" t="s">
        <v>577</v>
      </c>
      <c r="C7" s="12" t="s">
        <v>578</v>
      </c>
      <c r="D7" s="13">
        <v>2</v>
      </c>
      <c r="E7" s="14">
        <v>100</v>
      </c>
      <c r="F7" s="14">
        <v>2</v>
      </c>
      <c r="G7" s="9" t="s">
        <v>355</v>
      </c>
      <c r="H7" s="10" t="s">
        <v>579</v>
      </c>
    </row>
    <row r="8" ht="24" customHeight="1" spans="1:8">
      <c r="A8" s="11"/>
      <c r="B8" s="17" t="s">
        <v>580</v>
      </c>
      <c r="C8" s="18" t="s">
        <v>581</v>
      </c>
      <c r="D8" s="13">
        <v>2</v>
      </c>
      <c r="E8" s="14">
        <v>100</v>
      </c>
      <c r="F8" s="14">
        <v>2</v>
      </c>
      <c r="G8" s="14" t="s">
        <v>355</v>
      </c>
      <c r="H8" s="10" t="s">
        <v>582</v>
      </c>
    </row>
    <row r="9" ht="27" customHeight="1" spans="1:8">
      <c r="A9" s="11"/>
      <c r="B9" s="12" t="s">
        <v>583</v>
      </c>
      <c r="C9" s="12" t="s">
        <v>584</v>
      </c>
      <c r="D9" s="13">
        <v>2</v>
      </c>
      <c r="E9" s="14">
        <v>100</v>
      </c>
      <c r="F9" s="14">
        <v>2</v>
      </c>
      <c r="G9" s="9" t="s">
        <v>355</v>
      </c>
      <c r="H9" s="10" t="s">
        <v>585</v>
      </c>
    </row>
    <row r="10" ht="14.25" customHeight="1" spans="1:8">
      <c r="A10" s="11"/>
      <c r="B10" s="15" t="s">
        <v>586</v>
      </c>
      <c r="C10" s="15" t="s">
        <v>587</v>
      </c>
      <c r="D10" s="13">
        <v>2</v>
      </c>
      <c r="E10" s="14">
        <v>100</v>
      </c>
      <c r="F10" s="14">
        <v>2</v>
      </c>
      <c r="G10" s="9" t="s">
        <v>355</v>
      </c>
      <c r="H10" s="10" t="s">
        <v>588</v>
      </c>
    </row>
    <row r="11" ht="14.25" customHeight="1" spans="1:8">
      <c r="A11" s="11"/>
      <c r="B11" s="19" t="s">
        <v>519</v>
      </c>
      <c r="C11" s="20" t="s">
        <v>520</v>
      </c>
      <c r="D11" s="13">
        <v>0.5</v>
      </c>
      <c r="E11" s="14">
        <v>100</v>
      </c>
      <c r="F11" s="14">
        <v>0.5</v>
      </c>
      <c r="G11" s="14" t="s">
        <v>355</v>
      </c>
      <c r="H11" s="10" t="s">
        <v>589</v>
      </c>
    </row>
    <row r="12" ht="27" customHeight="1" spans="1:8">
      <c r="A12" s="11"/>
      <c r="B12" s="12" t="s">
        <v>590</v>
      </c>
      <c r="C12" s="12" t="s">
        <v>591</v>
      </c>
      <c r="D12" s="13">
        <v>0.5</v>
      </c>
      <c r="E12" s="14">
        <v>100</v>
      </c>
      <c r="F12" s="14">
        <v>0.5</v>
      </c>
      <c r="G12" s="14" t="s">
        <v>355</v>
      </c>
      <c r="H12" s="10" t="s">
        <v>270</v>
      </c>
    </row>
    <row r="13" ht="14.25" customHeight="1" spans="1:8">
      <c r="A13" s="11"/>
      <c r="B13" s="19" t="s">
        <v>450</v>
      </c>
      <c r="C13" s="20" t="s">
        <v>451</v>
      </c>
      <c r="D13" s="13">
        <v>0.1</v>
      </c>
      <c r="E13" s="14">
        <v>100</v>
      </c>
      <c r="F13" s="14">
        <v>0.1</v>
      </c>
      <c r="G13" s="9" t="s">
        <v>358</v>
      </c>
      <c r="H13" s="21" t="s">
        <v>284</v>
      </c>
    </row>
    <row r="14" ht="40.5" customHeight="1" spans="1:8">
      <c r="A14" s="11"/>
      <c r="B14" s="12" t="s">
        <v>592</v>
      </c>
      <c r="C14" s="12" t="s">
        <v>593</v>
      </c>
      <c r="D14" s="13">
        <v>0.1</v>
      </c>
      <c r="E14" s="14">
        <v>100</v>
      </c>
      <c r="F14" s="14">
        <v>0.1</v>
      </c>
      <c r="G14" s="22" t="s">
        <v>355</v>
      </c>
      <c r="H14" s="10" t="s">
        <v>594</v>
      </c>
    </row>
    <row r="15" ht="14.25" customHeight="1" spans="1:8">
      <c r="B15" s="17" t="s">
        <v>595</v>
      </c>
      <c r="C15" s="18" t="s">
        <v>596</v>
      </c>
      <c r="D15" s="13">
        <v>0.1</v>
      </c>
      <c r="E15" s="14">
        <v>100</v>
      </c>
      <c r="F15" s="14">
        <v>0.1</v>
      </c>
      <c r="G15" s="9" t="s">
        <v>355</v>
      </c>
      <c r="H15" s="10" t="s">
        <v>597</v>
      </c>
    </row>
    <row r="16" ht="14.25" customHeight="1" spans="1:8">
      <c r="B16" s="15" t="s">
        <v>413</v>
      </c>
      <c r="C16" s="15" t="s">
        <v>414</v>
      </c>
      <c r="D16" s="13">
        <v>0.1</v>
      </c>
      <c r="E16" s="14">
        <v>100</v>
      </c>
      <c r="F16" s="14">
        <v>0.1</v>
      </c>
      <c r="G16" s="9" t="s">
        <v>293</v>
      </c>
      <c r="H16" s="10" t="s">
        <v>415</v>
      </c>
    </row>
    <row r="17" ht="14.25" customHeight="1" spans="2:8">
      <c r="B17" s="15" t="s">
        <v>207</v>
      </c>
      <c r="C17" s="15" t="s">
        <v>208</v>
      </c>
      <c r="D17" s="23">
        <v>0.05</v>
      </c>
      <c r="E17" s="14">
        <v>100</v>
      </c>
      <c r="F17" s="23">
        <v>0.05</v>
      </c>
      <c r="G17" s="9" t="s">
        <v>293</v>
      </c>
      <c r="H17" s="10" t="s">
        <v>209</v>
      </c>
    </row>
    <row r="18" ht="14.25" customHeight="1" spans="2:8">
      <c r="B18" s="15" t="s">
        <v>232</v>
      </c>
      <c r="C18" s="15" t="s">
        <v>233</v>
      </c>
      <c r="D18" s="23">
        <v>0.05</v>
      </c>
      <c r="E18" s="14">
        <v>100</v>
      </c>
      <c r="F18" s="23">
        <v>0.05</v>
      </c>
      <c r="G18" s="9" t="s">
        <v>293</v>
      </c>
      <c r="H18" s="10" t="s">
        <v>234</v>
      </c>
    </row>
    <row r="19" ht="14.25" customHeight="1" spans="2:8">
      <c r="B19" s="15" t="s">
        <v>67</v>
      </c>
      <c r="C19" s="15" t="s">
        <v>292</v>
      </c>
      <c r="D19" s="24">
        <v>0.045</v>
      </c>
      <c r="E19" s="14">
        <v>100</v>
      </c>
      <c r="F19" s="25">
        <v>0.045</v>
      </c>
      <c r="G19" s="9" t="s">
        <v>286</v>
      </c>
      <c r="H19" s="10" t="s">
        <v>70</v>
      </c>
    </row>
    <row r="20" ht="27" customHeight="1" spans="2:8">
      <c r="B20" s="26" t="s">
        <v>256</v>
      </c>
      <c r="C20" s="26" t="s">
        <v>257</v>
      </c>
      <c r="D20" s="27">
        <v>0.005</v>
      </c>
      <c r="E20" s="14">
        <v>100</v>
      </c>
      <c r="F20" s="22">
        <v>0.005</v>
      </c>
      <c r="G20" s="9" t="s">
        <v>355</v>
      </c>
      <c r="H20" s="10" t="s">
        <v>258</v>
      </c>
    </row>
    <row r="21" ht="14.25" customHeight="1" spans="2:8">
      <c r="B21" s="28"/>
      <c r="C21" s="28"/>
      <c r="D21" s="14"/>
      <c r="E21" s="29"/>
      <c r="F21" s="14"/>
      <c r="G21" s="9"/>
      <c r="H21" s="10"/>
    </row>
    <row r="22" ht="14.25" customHeight="1" spans="2:8">
      <c r="B22" s="28"/>
      <c r="C22" s="28"/>
      <c r="D22" s="14"/>
      <c r="E22" s="29"/>
      <c r="F22" s="14"/>
      <c r="G22" s="9"/>
      <c r="H22" s="10"/>
    </row>
    <row r="23" ht="14.25" customHeight="1" spans="2:8">
      <c r="B23" s="28"/>
      <c r="C23" s="28"/>
      <c r="D23" s="14"/>
      <c r="E23" s="29"/>
      <c r="F23" s="14"/>
      <c r="G23" s="9"/>
      <c r="H23" s="10"/>
    </row>
    <row r="24" ht="14.25" customHeight="1" spans="2:8">
      <c r="B24" s="28"/>
      <c r="C24" s="28"/>
      <c r="D24" s="14"/>
      <c r="E24" s="29"/>
      <c r="F24" s="14"/>
      <c r="G24" s="9"/>
      <c r="H24" s="10"/>
    </row>
    <row r="25" ht="14.25" customHeight="1" spans="2:8">
      <c r="B25" s="28"/>
      <c r="C25" s="28"/>
      <c r="D25" s="14"/>
      <c r="E25" s="29"/>
      <c r="F25" s="14"/>
      <c r="G25" s="9"/>
      <c r="H25" s="10"/>
    </row>
    <row r="26" ht="14.25" customHeight="1" spans="2:8">
      <c r="B26" s="28"/>
      <c r="C26" s="28"/>
      <c r="D26" s="14"/>
      <c r="E26" s="29"/>
      <c r="F26" s="14"/>
      <c r="G26" s="9"/>
      <c r="H26" s="10"/>
    </row>
    <row r="27" ht="14.25" customHeight="1" spans="2:8">
      <c r="B27" s="28"/>
      <c r="C27" s="28"/>
      <c r="D27" s="14"/>
      <c r="E27" s="29"/>
      <c r="F27" s="14"/>
      <c r="G27" s="9"/>
      <c r="H27" s="10"/>
    </row>
    <row r="28" ht="14.25" customHeight="1" spans="2:8">
      <c r="B28" s="28"/>
      <c r="C28" s="28"/>
      <c r="D28" s="14"/>
      <c r="E28" s="29"/>
      <c r="F28" s="14"/>
      <c r="G28" s="9"/>
      <c r="H28" s="10"/>
    </row>
    <row r="29" ht="14.25" customHeight="1" spans="2:8">
      <c r="B29" s="28"/>
      <c r="C29" s="28"/>
      <c r="D29" s="14"/>
      <c r="E29" s="29"/>
      <c r="F29" s="14"/>
      <c r="G29" s="9"/>
      <c r="H29" s="10"/>
    </row>
    <row r="30" ht="14.25" customHeight="1" spans="2:8">
      <c r="B30" s="28"/>
      <c r="C30" s="28"/>
      <c r="D30" s="14"/>
      <c r="E30" s="29"/>
      <c r="F30" s="14"/>
      <c r="G30" s="9"/>
      <c r="H30" s="10"/>
    </row>
    <row r="31" ht="14.25" customHeight="1" spans="2:8">
      <c r="B31" s="28"/>
      <c r="C31" s="28"/>
      <c r="D31" s="14"/>
      <c r="E31" s="29"/>
      <c r="F31" s="14"/>
      <c r="G31" s="9"/>
      <c r="H31" s="10"/>
    </row>
    <row r="32" ht="14.25" customHeight="1" spans="2:8">
      <c r="B32" s="28"/>
      <c r="C32" s="28"/>
      <c r="D32" s="14"/>
      <c r="E32" s="29"/>
      <c r="F32" s="14"/>
      <c r="G32" s="9"/>
      <c r="H32" s="10"/>
    </row>
    <row r="33" spans="2:8">
      <c r="B33" s="28"/>
      <c r="C33" s="28"/>
      <c r="D33" s="29"/>
      <c r="E33" s="29"/>
      <c r="F33" s="29"/>
      <c r="G33" s="9"/>
      <c r="H33" s="10"/>
    </row>
    <row r="34" spans="2:8">
      <c r="B34" s="28"/>
      <c r="C34" s="28"/>
      <c r="D34" s="29"/>
      <c r="E34" s="29"/>
      <c r="F34" s="29"/>
      <c r="G34" s="9"/>
      <c r="H34" s="21"/>
    </row>
    <row r="35" spans="2:8">
      <c r="B35" s="28"/>
      <c r="C35" s="28"/>
      <c r="D35" s="29"/>
      <c r="E35" s="29"/>
      <c r="F35" s="29"/>
      <c r="G35" s="9"/>
      <c r="H35" s="21"/>
    </row>
    <row r="36" spans="2:8">
      <c r="B36" s="28"/>
      <c r="C36" s="28"/>
      <c r="D36" s="29"/>
      <c r="E36" s="29"/>
      <c r="F36" s="29"/>
      <c r="G36" s="9"/>
      <c r="H36" s="10"/>
    </row>
    <row r="37" spans="2:8">
      <c r="B37" s="28"/>
      <c r="C37" s="28"/>
      <c r="D37" s="29"/>
      <c r="E37" s="29"/>
      <c r="F37" s="29"/>
      <c r="G37" s="9"/>
      <c r="H37" s="10"/>
    </row>
    <row r="38" spans="2:8">
      <c r="B38" s="28"/>
      <c r="C38" s="28"/>
      <c r="D38" s="29"/>
      <c r="E38" s="29"/>
      <c r="F38" s="29"/>
      <c r="G38" s="9"/>
      <c r="H38" s="21"/>
    </row>
  </sheetData>
  <mergeCells count="1">
    <mergeCell ref="A1:H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workbookViewId="0">
      <selection activeCell="A1" sqref="A1:H1"/>
    </sheetView>
  </sheetViews>
  <sheetFormatPr defaultColWidth="9" defaultRowHeight="13.5" outlineLevelCol="7"/>
  <cols>
    <col min="1" max="1" width="9" style="1" customWidth="1"/>
    <col min="2" max="2" width="23" style="1" customWidth="1"/>
    <col min="3" max="3" width="25.375" style="1" customWidth="1"/>
    <col min="4" max="4" width="9" style="1" customWidth="1"/>
    <col min="5" max="5" width="16.5" style="1" customWidth="1"/>
    <col min="6" max="6" width="16.125" style="1" customWidth="1"/>
    <col min="7" max="7" width="17.625" style="1" customWidth="1"/>
    <col min="8" max="8" width="9" style="1" customWidth="1"/>
  </cols>
  <sheetData>
    <row r="1" ht="30" customHeight="1" spans="1:8">
      <c r="A1" s="2" t="s">
        <v>598</v>
      </c>
    </row>
    <row r="2" ht="24" customHeight="1" spans="1:8">
      <c r="A2" s="3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ht="14.25" customHeight="1" spans="1:8">
      <c r="A3" s="5"/>
      <c r="B3" s="6" t="s">
        <v>453</v>
      </c>
      <c r="C3" s="6" t="s">
        <v>454</v>
      </c>
      <c r="D3" s="7">
        <f>100-SUM(D4:D20)</f>
        <v>73.45</v>
      </c>
      <c r="E3" s="8">
        <v>100</v>
      </c>
      <c r="F3" s="8">
        <f>100-SUM(F4:F20)</f>
        <v>73.45</v>
      </c>
      <c r="G3" s="9" t="s">
        <v>297</v>
      </c>
      <c r="H3" s="10" t="s">
        <v>455</v>
      </c>
    </row>
    <row r="4" ht="27" customHeight="1" spans="1:8">
      <c r="A4" s="11"/>
      <c r="B4" s="12" t="s">
        <v>459</v>
      </c>
      <c r="C4" s="12" t="s">
        <v>460</v>
      </c>
      <c r="D4" s="13">
        <v>10</v>
      </c>
      <c r="E4" s="14">
        <v>100</v>
      </c>
      <c r="F4" s="14">
        <v>10</v>
      </c>
      <c r="G4" s="9" t="s">
        <v>355</v>
      </c>
      <c r="H4" s="10" t="s">
        <v>461</v>
      </c>
    </row>
    <row r="5" ht="14.25" customHeight="1" spans="1:8">
      <c r="A5" s="11"/>
      <c r="B5" s="15" t="s">
        <v>456</v>
      </c>
      <c r="C5" s="15" t="s">
        <v>457</v>
      </c>
      <c r="D5" s="13">
        <v>5</v>
      </c>
      <c r="E5" s="14">
        <v>100</v>
      </c>
      <c r="F5" s="14">
        <v>5</v>
      </c>
      <c r="G5" s="9" t="s">
        <v>297</v>
      </c>
      <c r="H5" s="16">
        <v>909554</v>
      </c>
    </row>
    <row r="6" ht="14.25" customHeight="1" spans="1:8">
      <c r="A6" s="11"/>
      <c r="B6" s="15" t="s">
        <v>322</v>
      </c>
      <c r="C6" s="15" t="s">
        <v>323</v>
      </c>
      <c r="D6" s="13">
        <v>2</v>
      </c>
      <c r="E6" s="14">
        <v>100</v>
      </c>
      <c r="F6" s="14">
        <v>2</v>
      </c>
      <c r="G6" s="9" t="s">
        <v>297</v>
      </c>
      <c r="H6" s="10" t="s">
        <v>576</v>
      </c>
    </row>
    <row r="7" ht="27" customHeight="1" spans="1:8">
      <c r="A7" s="11"/>
      <c r="B7" s="12" t="s">
        <v>577</v>
      </c>
      <c r="C7" s="12" t="s">
        <v>578</v>
      </c>
      <c r="D7" s="13">
        <v>2</v>
      </c>
      <c r="E7" s="14">
        <v>100</v>
      </c>
      <c r="F7" s="14">
        <v>2</v>
      </c>
      <c r="G7" s="9" t="s">
        <v>355</v>
      </c>
      <c r="H7" s="10" t="s">
        <v>579</v>
      </c>
    </row>
    <row r="8" ht="24" customHeight="1" spans="1:8">
      <c r="A8" s="11"/>
      <c r="B8" s="17" t="s">
        <v>580</v>
      </c>
      <c r="C8" s="18" t="s">
        <v>581</v>
      </c>
      <c r="D8" s="13">
        <v>2</v>
      </c>
      <c r="E8" s="14">
        <v>100</v>
      </c>
      <c r="F8" s="14">
        <v>2</v>
      </c>
      <c r="G8" s="14" t="s">
        <v>355</v>
      </c>
      <c r="H8" s="10" t="s">
        <v>582</v>
      </c>
    </row>
    <row r="9" ht="27" customHeight="1" spans="1:8">
      <c r="A9" s="11"/>
      <c r="B9" s="12" t="s">
        <v>583</v>
      </c>
      <c r="C9" s="12" t="s">
        <v>584</v>
      </c>
      <c r="D9" s="13">
        <v>2</v>
      </c>
      <c r="E9" s="14">
        <v>100</v>
      </c>
      <c r="F9" s="14">
        <v>2</v>
      </c>
      <c r="G9" s="9" t="s">
        <v>355</v>
      </c>
      <c r="H9" s="10" t="s">
        <v>585</v>
      </c>
    </row>
    <row r="10" ht="14.25" customHeight="1" spans="1:8">
      <c r="A10" s="11"/>
      <c r="B10" s="15" t="s">
        <v>586</v>
      </c>
      <c r="C10" s="15" t="s">
        <v>587</v>
      </c>
      <c r="D10" s="13">
        <v>2</v>
      </c>
      <c r="E10" s="14">
        <v>100</v>
      </c>
      <c r="F10" s="14">
        <v>2</v>
      </c>
      <c r="G10" s="9" t="s">
        <v>355</v>
      </c>
      <c r="H10" s="10" t="s">
        <v>588</v>
      </c>
    </row>
    <row r="11" ht="14.25" customHeight="1" spans="1:8">
      <c r="A11" s="11"/>
      <c r="B11" s="19" t="s">
        <v>519</v>
      </c>
      <c r="C11" s="20" t="s">
        <v>520</v>
      </c>
      <c r="D11" s="13">
        <v>0.5</v>
      </c>
      <c r="E11" s="14">
        <v>100</v>
      </c>
      <c r="F11" s="14">
        <v>0.5</v>
      </c>
      <c r="G11" s="14" t="s">
        <v>355</v>
      </c>
      <c r="H11" s="10" t="s">
        <v>589</v>
      </c>
    </row>
    <row r="12" ht="27" customHeight="1" spans="1:8">
      <c r="A12" s="11"/>
      <c r="B12" s="12" t="s">
        <v>590</v>
      </c>
      <c r="C12" s="12" t="s">
        <v>591</v>
      </c>
      <c r="D12" s="13">
        <v>0.5</v>
      </c>
      <c r="E12" s="14">
        <v>100</v>
      </c>
      <c r="F12" s="14">
        <v>0.5</v>
      </c>
      <c r="G12" s="14" t="s">
        <v>355</v>
      </c>
      <c r="H12" s="10" t="s">
        <v>270</v>
      </c>
    </row>
    <row r="13" ht="14.25" customHeight="1" spans="1:8">
      <c r="A13" s="11"/>
      <c r="B13" s="19" t="s">
        <v>450</v>
      </c>
      <c r="C13" s="20" t="s">
        <v>451</v>
      </c>
      <c r="D13" s="13">
        <v>0.1</v>
      </c>
      <c r="E13" s="14">
        <v>100</v>
      </c>
      <c r="F13" s="14">
        <v>0.1</v>
      </c>
      <c r="G13" s="9" t="s">
        <v>358</v>
      </c>
      <c r="H13" s="21" t="s">
        <v>284</v>
      </c>
    </row>
    <row r="14" ht="40.5" customHeight="1" spans="1:8">
      <c r="A14" s="11"/>
      <c r="B14" s="12" t="s">
        <v>592</v>
      </c>
      <c r="C14" s="12" t="s">
        <v>593</v>
      </c>
      <c r="D14" s="13">
        <v>0.1</v>
      </c>
      <c r="E14" s="14">
        <v>100</v>
      </c>
      <c r="F14" s="14">
        <v>0.1</v>
      </c>
      <c r="G14" s="22" t="s">
        <v>355</v>
      </c>
      <c r="H14" s="10" t="s">
        <v>594</v>
      </c>
    </row>
    <row r="15" ht="14.25" customHeight="1" spans="1:8">
      <c r="B15" s="17" t="s">
        <v>595</v>
      </c>
      <c r="C15" s="18" t="s">
        <v>596</v>
      </c>
      <c r="D15" s="13">
        <v>0.1</v>
      </c>
      <c r="E15" s="14">
        <v>100</v>
      </c>
      <c r="F15" s="14">
        <v>0.1</v>
      </c>
      <c r="G15" s="9" t="s">
        <v>355</v>
      </c>
      <c r="H15" s="10" t="s">
        <v>597</v>
      </c>
    </row>
    <row r="16" ht="14.25" customHeight="1" spans="1:8">
      <c r="B16" s="15" t="s">
        <v>413</v>
      </c>
      <c r="C16" s="15" t="s">
        <v>414</v>
      </c>
      <c r="D16" s="13">
        <v>0.1</v>
      </c>
      <c r="E16" s="14">
        <v>100</v>
      </c>
      <c r="F16" s="14">
        <v>0.1</v>
      </c>
      <c r="G16" s="9" t="s">
        <v>293</v>
      </c>
      <c r="H16" s="10" t="s">
        <v>415</v>
      </c>
    </row>
    <row r="17" ht="14.25" customHeight="1" spans="2:8">
      <c r="B17" s="15" t="s">
        <v>207</v>
      </c>
      <c r="C17" s="15" t="s">
        <v>208</v>
      </c>
      <c r="D17" s="23">
        <v>0.05</v>
      </c>
      <c r="E17" s="14">
        <v>100</v>
      </c>
      <c r="F17" s="23">
        <v>0.05</v>
      </c>
      <c r="G17" s="9" t="s">
        <v>293</v>
      </c>
      <c r="H17" s="10" t="s">
        <v>209</v>
      </c>
    </row>
    <row r="18" ht="14.25" customHeight="1" spans="2:8">
      <c r="B18" s="15" t="s">
        <v>232</v>
      </c>
      <c r="C18" s="15" t="s">
        <v>233</v>
      </c>
      <c r="D18" s="23">
        <v>0.05</v>
      </c>
      <c r="E18" s="14">
        <v>100</v>
      </c>
      <c r="F18" s="23">
        <v>0.05</v>
      </c>
      <c r="G18" s="9" t="s">
        <v>293</v>
      </c>
      <c r="H18" s="10" t="s">
        <v>234</v>
      </c>
    </row>
    <row r="19" ht="14.25" customHeight="1" spans="2:8">
      <c r="B19" s="15" t="s">
        <v>67</v>
      </c>
      <c r="C19" s="15" t="s">
        <v>292</v>
      </c>
      <c r="D19" s="24">
        <v>0.045</v>
      </c>
      <c r="E19" s="14">
        <v>100</v>
      </c>
      <c r="F19" s="25">
        <v>0.045</v>
      </c>
      <c r="G19" s="9" t="s">
        <v>286</v>
      </c>
      <c r="H19" s="10" t="s">
        <v>70</v>
      </c>
    </row>
    <row r="20" ht="27" customHeight="1" spans="2:8">
      <c r="B20" s="26" t="s">
        <v>256</v>
      </c>
      <c r="C20" s="26" t="s">
        <v>257</v>
      </c>
      <c r="D20" s="27">
        <v>0.005</v>
      </c>
      <c r="E20" s="14">
        <v>100</v>
      </c>
      <c r="F20" s="22">
        <v>0.005</v>
      </c>
      <c r="G20" s="9" t="s">
        <v>355</v>
      </c>
      <c r="H20" s="10" t="s">
        <v>258</v>
      </c>
    </row>
    <row r="21" ht="14.25" customHeight="1" spans="2:8">
      <c r="B21" s="28"/>
      <c r="C21" s="28"/>
      <c r="D21" s="14"/>
      <c r="E21" s="29"/>
      <c r="F21" s="14"/>
      <c r="G21" s="9"/>
      <c r="H21" s="10"/>
    </row>
    <row r="22" ht="14.25" customHeight="1" spans="2:8">
      <c r="B22" s="28"/>
      <c r="C22" s="28"/>
      <c r="D22" s="14"/>
      <c r="E22" s="29"/>
      <c r="F22" s="14"/>
      <c r="G22" s="9"/>
      <c r="H22" s="10"/>
    </row>
    <row r="23" ht="14.25" customHeight="1" spans="2:8">
      <c r="B23" s="28"/>
      <c r="C23" s="28"/>
      <c r="D23" s="14"/>
      <c r="E23" s="29"/>
      <c r="F23" s="14"/>
      <c r="G23" s="9"/>
      <c r="H23" s="10"/>
    </row>
    <row r="24" ht="14.25" customHeight="1" spans="2:8">
      <c r="B24" s="28"/>
      <c r="C24" s="28"/>
      <c r="D24" s="14"/>
      <c r="E24" s="29"/>
      <c r="F24" s="14"/>
      <c r="G24" s="9"/>
      <c r="H24" s="10"/>
    </row>
    <row r="25" ht="14.25" customHeight="1" spans="2:8">
      <c r="B25" s="28"/>
      <c r="C25" s="28"/>
      <c r="D25" s="14"/>
      <c r="E25" s="29"/>
      <c r="F25" s="14"/>
      <c r="G25" s="9"/>
      <c r="H25" s="10"/>
    </row>
    <row r="26" ht="14.25" customHeight="1" spans="2:8">
      <c r="B26" s="28"/>
      <c r="C26" s="28"/>
      <c r="D26" s="14"/>
      <c r="E26" s="29"/>
      <c r="F26" s="14"/>
      <c r="G26" s="9"/>
      <c r="H26" s="10"/>
    </row>
    <row r="27" ht="14.25" customHeight="1" spans="2:8">
      <c r="B27" s="28"/>
      <c r="C27" s="28"/>
      <c r="D27" s="14"/>
      <c r="E27" s="29"/>
      <c r="F27" s="14"/>
      <c r="G27" s="9"/>
      <c r="H27" s="10"/>
    </row>
    <row r="28" ht="14.25" customHeight="1" spans="2:8">
      <c r="B28" s="28"/>
      <c r="C28" s="28"/>
      <c r="D28" s="14"/>
      <c r="E28" s="29"/>
      <c r="F28" s="14"/>
      <c r="G28" s="9"/>
      <c r="H28" s="10"/>
    </row>
    <row r="29" ht="14.25" customHeight="1" spans="2:8">
      <c r="B29" s="28"/>
      <c r="C29" s="28"/>
      <c r="D29" s="14"/>
      <c r="E29" s="29"/>
      <c r="F29" s="14"/>
      <c r="G29" s="9"/>
      <c r="H29" s="10"/>
    </row>
    <row r="30" ht="14.25" customHeight="1" spans="2:8">
      <c r="B30" s="28"/>
      <c r="C30" s="28"/>
      <c r="D30" s="14"/>
      <c r="E30" s="29"/>
      <c r="F30" s="14"/>
      <c r="G30" s="9"/>
      <c r="H30" s="10"/>
    </row>
    <row r="31" ht="14.25" customHeight="1" spans="2:8">
      <c r="B31" s="28"/>
      <c r="C31" s="28"/>
      <c r="D31" s="14"/>
      <c r="E31" s="29"/>
      <c r="F31" s="14"/>
      <c r="G31" s="9"/>
      <c r="H31" s="10"/>
    </row>
    <row r="32" ht="14.25" customHeight="1" spans="2:8">
      <c r="B32" s="28"/>
      <c r="C32" s="28"/>
      <c r="D32" s="14"/>
      <c r="E32" s="29"/>
      <c r="F32" s="14"/>
      <c r="G32" s="9"/>
      <c r="H32" s="10"/>
    </row>
    <row r="33" spans="2:8">
      <c r="B33" s="28"/>
      <c r="C33" s="28"/>
      <c r="D33" s="29"/>
      <c r="E33" s="29"/>
      <c r="F33" s="29"/>
      <c r="G33" s="9"/>
      <c r="H33" s="10"/>
    </row>
    <row r="34" spans="2:8">
      <c r="B34" s="28"/>
      <c r="C34" s="28"/>
      <c r="D34" s="29"/>
      <c r="E34" s="29"/>
      <c r="F34" s="29"/>
      <c r="G34" s="9"/>
      <c r="H34" s="21"/>
    </row>
    <row r="35" spans="2:8">
      <c r="B35" s="28"/>
      <c r="C35" s="28"/>
      <c r="D35" s="29"/>
      <c r="E35" s="29"/>
      <c r="F35" s="29"/>
      <c r="G35" s="9"/>
      <c r="H35" s="21"/>
    </row>
    <row r="36" spans="2:8">
      <c r="B36" s="28"/>
      <c r="C36" s="28"/>
      <c r="D36" s="29"/>
      <c r="E36" s="29"/>
      <c r="F36" s="29"/>
      <c r="G36" s="9"/>
      <c r="H36" s="10"/>
    </row>
    <row r="37" spans="2:8">
      <c r="B37" s="28"/>
      <c r="C37" s="28"/>
      <c r="D37" s="29"/>
      <c r="E37" s="29"/>
      <c r="F37" s="29"/>
      <c r="G37" s="9"/>
      <c r="H37" s="10"/>
    </row>
    <row r="38" spans="2:8">
      <c r="B38" s="28"/>
      <c r="C38" s="28"/>
      <c r="D38" s="29"/>
      <c r="E38" s="29"/>
      <c r="F38" s="29"/>
      <c r="G38" s="9"/>
      <c r="H38" s="21"/>
    </row>
  </sheetData>
  <mergeCells count="1">
    <mergeCell ref="A1:H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workbookViewId="0">
      <selection activeCell="A1" sqref="A1:H1"/>
    </sheetView>
  </sheetViews>
  <sheetFormatPr defaultColWidth="9" defaultRowHeight="13.5" outlineLevelCol="7"/>
  <cols>
    <col min="1" max="1" width="9" style="1" customWidth="1"/>
    <col min="2" max="2" width="23" style="1" customWidth="1"/>
    <col min="3" max="3" width="25.375" style="1" customWidth="1"/>
    <col min="4" max="4" width="9" style="1" customWidth="1"/>
    <col min="5" max="5" width="16.5" style="1" customWidth="1"/>
    <col min="6" max="6" width="16.125" style="1" customWidth="1"/>
    <col min="7" max="7" width="17.625" style="1" customWidth="1"/>
    <col min="8" max="8" width="9" style="1" customWidth="1"/>
  </cols>
  <sheetData>
    <row r="1" ht="30" customHeight="1" spans="1:8">
      <c r="A1" s="2" t="s">
        <v>599</v>
      </c>
    </row>
    <row r="2" ht="24" customHeight="1" spans="1:8">
      <c r="A2" s="3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ht="14.25" customHeight="1" spans="1:8">
      <c r="A3" s="5"/>
      <c r="B3" s="6" t="s">
        <v>453</v>
      </c>
      <c r="C3" s="6" t="s">
        <v>454</v>
      </c>
      <c r="D3" s="7">
        <f>100-SUM(D4:D20)</f>
        <v>73.45</v>
      </c>
      <c r="E3" s="8">
        <v>100</v>
      </c>
      <c r="F3" s="8">
        <f>100-SUM(F4:F20)</f>
        <v>73.45</v>
      </c>
      <c r="G3" s="9" t="s">
        <v>297</v>
      </c>
      <c r="H3" s="10" t="s">
        <v>455</v>
      </c>
    </row>
    <row r="4" ht="27" customHeight="1" spans="1:8">
      <c r="A4" s="11"/>
      <c r="B4" s="12" t="s">
        <v>459</v>
      </c>
      <c r="C4" s="12" t="s">
        <v>460</v>
      </c>
      <c r="D4" s="13">
        <v>10</v>
      </c>
      <c r="E4" s="14">
        <v>100</v>
      </c>
      <c r="F4" s="14">
        <v>10</v>
      </c>
      <c r="G4" s="9" t="s">
        <v>355</v>
      </c>
      <c r="H4" s="10" t="s">
        <v>461</v>
      </c>
    </row>
    <row r="5" ht="14.25" customHeight="1" spans="1:8">
      <c r="A5" s="11"/>
      <c r="B5" s="15" t="s">
        <v>456</v>
      </c>
      <c r="C5" s="15" t="s">
        <v>457</v>
      </c>
      <c r="D5" s="13">
        <v>5</v>
      </c>
      <c r="E5" s="14">
        <v>100</v>
      </c>
      <c r="F5" s="14">
        <v>5</v>
      </c>
      <c r="G5" s="9" t="s">
        <v>297</v>
      </c>
      <c r="H5" s="16">
        <v>909554</v>
      </c>
    </row>
    <row r="6" ht="14.25" customHeight="1" spans="1:8">
      <c r="A6" s="11"/>
      <c r="B6" s="15" t="s">
        <v>322</v>
      </c>
      <c r="C6" s="15" t="s">
        <v>323</v>
      </c>
      <c r="D6" s="13">
        <v>2</v>
      </c>
      <c r="E6" s="14">
        <v>100</v>
      </c>
      <c r="F6" s="14">
        <v>2</v>
      </c>
      <c r="G6" s="9" t="s">
        <v>297</v>
      </c>
      <c r="H6" s="10" t="s">
        <v>576</v>
      </c>
    </row>
    <row r="7" ht="27" customHeight="1" spans="1:8">
      <c r="A7" s="11"/>
      <c r="B7" s="12" t="s">
        <v>577</v>
      </c>
      <c r="C7" s="12" t="s">
        <v>578</v>
      </c>
      <c r="D7" s="13">
        <v>2</v>
      </c>
      <c r="E7" s="14">
        <v>100</v>
      </c>
      <c r="F7" s="14">
        <v>2</v>
      </c>
      <c r="G7" s="9" t="s">
        <v>355</v>
      </c>
      <c r="H7" s="10" t="s">
        <v>579</v>
      </c>
    </row>
    <row r="8" ht="24" customHeight="1" spans="1:8">
      <c r="A8" s="11"/>
      <c r="B8" s="17" t="s">
        <v>580</v>
      </c>
      <c r="C8" s="18" t="s">
        <v>581</v>
      </c>
      <c r="D8" s="13">
        <v>2</v>
      </c>
      <c r="E8" s="14">
        <v>100</v>
      </c>
      <c r="F8" s="14">
        <v>2</v>
      </c>
      <c r="G8" s="14" t="s">
        <v>355</v>
      </c>
      <c r="H8" s="10" t="s">
        <v>582</v>
      </c>
    </row>
    <row r="9" ht="27" customHeight="1" spans="1:8">
      <c r="A9" s="11"/>
      <c r="B9" s="12" t="s">
        <v>583</v>
      </c>
      <c r="C9" s="12" t="s">
        <v>584</v>
      </c>
      <c r="D9" s="13">
        <v>2</v>
      </c>
      <c r="E9" s="14">
        <v>100</v>
      </c>
      <c r="F9" s="14">
        <v>2</v>
      </c>
      <c r="G9" s="9" t="s">
        <v>355</v>
      </c>
      <c r="H9" s="10" t="s">
        <v>585</v>
      </c>
    </row>
    <row r="10" ht="14.25" customHeight="1" spans="1:8">
      <c r="A10" s="11"/>
      <c r="B10" s="15" t="s">
        <v>586</v>
      </c>
      <c r="C10" s="15" t="s">
        <v>587</v>
      </c>
      <c r="D10" s="13">
        <v>2</v>
      </c>
      <c r="E10" s="14">
        <v>100</v>
      </c>
      <c r="F10" s="14">
        <v>2</v>
      </c>
      <c r="G10" s="9" t="s">
        <v>355</v>
      </c>
      <c r="H10" s="10" t="s">
        <v>588</v>
      </c>
    </row>
    <row r="11" ht="14.25" customHeight="1" spans="1:8">
      <c r="A11" s="11"/>
      <c r="B11" s="19" t="s">
        <v>519</v>
      </c>
      <c r="C11" s="20" t="s">
        <v>520</v>
      </c>
      <c r="D11" s="13">
        <v>0.5</v>
      </c>
      <c r="E11" s="14">
        <v>100</v>
      </c>
      <c r="F11" s="14">
        <v>0.5</v>
      </c>
      <c r="G11" s="14" t="s">
        <v>355</v>
      </c>
      <c r="H11" s="10" t="s">
        <v>589</v>
      </c>
    </row>
    <row r="12" ht="27" customHeight="1" spans="1:8">
      <c r="A12" s="11"/>
      <c r="B12" s="12" t="s">
        <v>590</v>
      </c>
      <c r="C12" s="12" t="s">
        <v>591</v>
      </c>
      <c r="D12" s="13">
        <v>0.5</v>
      </c>
      <c r="E12" s="14">
        <v>100</v>
      </c>
      <c r="F12" s="14">
        <v>0.5</v>
      </c>
      <c r="G12" s="14" t="s">
        <v>355</v>
      </c>
      <c r="H12" s="10" t="s">
        <v>270</v>
      </c>
    </row>
    <row r="13" ht="14.25" customHeight="1" spans="1:8">
      <c r="A13" s="11"/>
      <c r="B13" s="19" t="s">
        <v>450</v>
      </c>
      <c r="C13" s="20" t="s">
        <v>451</v>
      </c>
      <c r="D13" s="13">
        <v>0.1</v>
      </c>
      <c r="E13" s="14">
        <v>100</v>
      </c>
      <c r="F13" s="14">
        <v>0.1</v>
      </c>
      <c r="G13" s="9" t="s">
        <v>358</v>
      </c>
      <c r="H13" s="21" t="s">
        <v>284</v>
      </c>
    </row>
    <row r="14" ht="40.5" customHeight="1" spans="1:8">
      <c r="A14" s="11"/>
      <c r="B14" s="12" t="s">
        <v>592</v>
      </c>
      <c r="C14" s="12" t="s">
        <v>593</v>
      </c>
      <c r="D14" s="13">
        <v>0.1</v>
      </c>
      <c r="E14" s="14">
        <v>100</v>
      </c>
      <c r="F14" s="14">
        <v>0.1</v>
      </c>
      <c r="G14" s="22" t="s">
        <v>355</v>
      </c>
      <c r="H14" s="10" t="s">
        <v>594</v>
      </c>
    </row>
    <row r="15" ht="14.25" customHeight="1" spans="1:8">
      <c r="B15" s="17" t="s">
        <v>595</v>
      </c>
      <c r="C15" s="18" t="s">
        <v>596</v>
      </c>
      <c r="D15" s="13">
        <v>0.1</v>
      </c>
      <c r="E15" s="14">
        <v>100</v>
      </c>
      <c r="F15" s="14">
        <v>0.1</v>
      </c>
      <c r="G15" s="9" t="s">
        <v>355</v>
      </c>
      <c r="H15" s="10" t="s">
        <v>597</v>
      </c>
    </row>
    <row r="16" ht="14.25" customHeight="1" spans="1:8">
      <c r="B16" s="15" t="s">
        <v>413</v>
      </c>
      <c r="C16" s="15" t="s">
        <v>414</v>
      </c>
      <c r="D16" s="13">
        <v>0.1</v>
      </c>
      <c r="E16" s="14">
        <v>100</v>
      </c>
      <c r="F16" s="14">
        <v>0.1</v>
      </c>
      <c r="G16" s="9" t="s">
        <v>293</v>
      </c>
      <c r="H16" s="10" t="s">
        <v>415</v>
      </c>
    </row>
    <row r="17" ht="14.25" customHeight="1" spans="2:8">
      <c r="B17" s="15" t="s">
        <v>207</v>
      </c>
      <c r="C17" s="15" t="s">
        <v>208</v>
      </c>
      <c r="D17" s="23">
        <v>0.05</v>
      </c>
      <c r="E17" s="14">
        <v>100</v>
      </c>
      <c r="F17" s="23">
        <v>0.05</v>
      </c>
      <c r="G17" s="9" t="s">
        <v>293</v>
      </c>
      <c r="H17" s="10" t="s">
        <v>209</v>
      </c>
    </row>
    <row r="18" ht="14.25" customHeight="1" spans="2:8">
      <c r="B18" s="15" t="s">
        <v>232</v>
      </c>
      <c r="C18" s="15" t="s">
        <v>233</v>
      </c>
      <c r="D18" s="23">
        <v>0.05</v>
      </c>
      <c r="E18" s="14">
        <v>100</v>
      </c>
      <c r="F18" s="23">
        <v>0.05</v>
      </c>
      <c r="G18" s="9" t="s">
        <v>293</v>
      </c>
      <c r="H18" s="10" t="s">
        <v>234</v>
      </c>
    </row>
    <row r="19" ht="14.25" customHeight="1" spans="2:8">
      <c r="B19" s="15" t="s">
        <v>67</v>
      </c>
      <c r="C19" s="15" t="s">
        <v>292</v>
      </c>
      <c r="D19" s="24">
        <v>0.045</v>
      </c>
      <c r="E19" s="14">
        <v>100</v>
      </c>
      <c r="F19" s="25">
        <v>0.045</v>
      </c>
      <c r="G19" s="9" t="s">
        <v>286</v>
      </c>
      <c r="H19" s="10" t="s">
        <v>70</v>
      </c>
    </row>
    <row r="20" ht="27" customHeight="1" spans="2:8">
      <c r="B20" s="26" t="s">
        <v>256</v>
      </c>
      <c r="C20" s="26" t="s">
        <v>257</v>
      </c>
      <c r="D20" s="27">
        <v>0.005</v>
      </c>
      <c r="E20" s="14">
        <v>100</v>
      </c>
      <c r="F20" s="22">
        <v>0.005</v>
      </c>
      <c r="G20" s="9" t="s">
        <v>355</v>
      </c>
      <c r="H20" s="10" t="s">
        <v>258</v>
      </c>
    </row>
    <row r="21" ht="14.25" customHeight="1" spans="2:8">
      <c r="B21" s="28"/>
      <c r="C21" s="28"/>
      <c r="D21" s="14"/>
      <c r="E21" s="29"/>
      <c r="F21" s="14"/>
      <c r="G21" s="9"/>
      <c r="H21" s="10"/>
    </row>
    <row r="22" ht="14.25" customHeight="1" spans="2:8">
      <c r="B22" s="28"/>
      <c r="C22" s="28"/>
      <c r="D22" s="14"/>
      <c r="E22" s="29"/>
      <c r="F22" s="14"/>
      <c r="G22" s="9"/>
      <c r="H22" s="10"/>
    </row>
    <row r="23" ht="14.25" customHeight="1" spans="2:8">
      <c r="B23" s="28"/>
      <c r="C23" s="28"/>
      <c r="D23" s="14"/>
      <c r="E23" s="29"/>
      <c r="F23" s="14"/>
      <c r="G23" s="9"/>
      <c r="H23" s="10"/>
    </row>
    <row r="24" ht="14.25" customHeight="1" spans="2:8">
      <c r="B24" s="28"/>
      <c r="C24" s="28"/>
      <c r="D24" s="14"/>
      <c r="E24" s="29"/>
      <c r="F24" s="14"/>
      <c r="G24" s="9"/>
      <c r="H24" s="10"/>
    </row>
    <row r="25" ht="14.25" customHeight="1" spans="2:8">
      <c r="B25" s="28"/>
      <c r="C25" s="28"/>
      <c r="D25" s="14"/>
      <c r="E25" s="29"/>
      <c r="F25" s="14"/>
      <c r="G25" s="9"/>
      <c r="H25" s="10"/>
    </row>
    <row r="26" ht="14.25" customHeight="1" spans="2:8">
      <c r="B26" s="28"/>
      <c r="C26" s="28"/>
      <c r="D26" s="14"/>
      <c r="E26" s="29"/>
      <c r="F26" s="14"/>
      <c r="G26" s="9"/>
      <c r="H26" s="10"/>
    </row>
    <row r="27" ht="14.25" customHeight="1" spans="2:8">
      <c r="B27" s="28"/>
      <c r="C27" s="28"/>
      <c r="D27" s="14"/>
      <c r="E27" s="29"/>
      <c r="F27" s="14"/>
      <c r="G27" s="9"/>
      <c r="H27" s="10"/>
    </row>
    <row r="28" ht="14.25" customHeight="1" spans="2:8">
      <c r="B28" s="28"/>
      <c r="C28" s="28"/>
      <c r="D28" s="14"/>
      <c r="E28" s="29"/>
      <c r="F28" s="14"/>
      <c r="G28" s="9"/>
      <c r="H28" s="10"/>
    </row>
    <row r="29" ht="14.25" customHeight="1" spans="2:8">
      <c r="B29" s="28"/>
      <c r="C29" s="28"/>
      <c r="D29" s="14"/>
      <c r="E29" s="29"/>
      <c r="F29" s="14"/>
      <c r="G29" s="9"/>
      <c r="H29" s="10"/>
    </row>
    <row r="30" ht="14.25" customHeight="1" spans="2:8">
      <c r="B30" s="28"/>
      <c r="C30" s="28"/>
      <c r="D30" s="14"/>
      <c r="E30" s="29"/>
      <c r="F30" s="14"/>
      <c r="G30" s="9"/>
      <c r="H30" s="10"/>
    </row>
    <row r="31" ht="14.25" customHeight="1" spans="2:8">
      <c r="B31" s="28"/>
      <c r="C31" s="28"/>
      <c r="D31" s="14"/>
      <c r="E31" s="29"/>
      <c r="F31" s="14"/>
      <c r="G31" s="9"/>
      <c r="H31" s="10"/>
    </row>
    <row r="32" ht="14.25" customHeight="1" spans="2:8">
      <c r="B32" s="28"/>
      <c r="C32" s="28"/>
      <c r="D32" s="14"/>
      <c r="E32" s="29"/>
      <c r="F32" s="14"/>
      <c r="G32" s="9"/>
      <c r="H32" s="10"/>
    </row>
    <row r="33" spans="2:8">
      <c r="B33" s="28"/>
      <c r="C33" s="28"/>
      <c r="D33" s="29"/>
      <c r="E33" s="29"/>
      <c r="F33" s="29"/>
      <c r="G33" s="9"/>
      <c r="H33" s="10"/>
    </row>
    <row r="34" spans="2:8">
      <c r="B34" s="28"/>
      <c r="C34" s="28"/>
      <c r="D34" s="29"/>
      <c r="E34" s="29"/>
      <c r="F34" s="29"/>
      <c r="G34" s="9"/>
      <c r="H34" s="21"/>
    </row>
    <row r="35" spans="2:8">
      <c r="B35" s="28"/>
      <c r="C35" s="28"/>
      <c r="D35" s="29"/>
      <c r="E35" s="29"/>
      <c r="F35" s="29"/>
      <c r="G35" s="9"/>
      <c r="H35" s="21"/>
    </row>
    <row r="36" spans="2:8">
      <c r="B36" s="28"/>
      <c r="C36" s="28"/>
      <c r="D36" s="29"/>
      <c r="E36" s="29"/>
      <c r="F36" s="29"/>
      <c r="G36" s="9"/>
      <c r="H36" s="10"/>
    </row>
    <row r="37" spans="2:8">
      <c r="B37" s="28"/>
      <c r="C37" s="28"/>
      <c r="D37" s="29"/>
      <c r="E37" s="29"/>
      <c r="F37" s="29"/>
      <c r="G37" s="9"/>
      <c r="H37" s="10"/>
    </row>
    <row r="38" spans="2:8">
      <c r="B38" s="28"/>
      <c r="C38" s="28"/>
      <c r="D38" s="29"/>
      <c r="E38" s="29"/>
      <c r="F38" s="29"/>
      <c r="G38" s="9"/>
      <c r="H38" s="21"/>
    </row>
  </sheetData>
  <mergeCells count="1">
    <mergeCell ref="A1:H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workbookViewId="0">
      <selection activeCell="A1" sqref="A1:H1"/>
    </sheetView>
  </sheetViews>
  <sheetFormatPr defaultColWidth="9" defaultRowHeight="13.5" outlineLevelCol="7"/>
  <cols>
    <col min="1" max="1" width="9" style="1" customWidth="1"/>
    <col min="2" max="2" width="23" style="1" customWidth="1"/>
    <col min="3" max="3" width="25.375" style="1" customWidth="1"/>
    <col min="4" max="4" width="9" style="1" customWidth="1"/>
    <col min="5" max="5" width="16.5" style="1" customWidth="1"/>
    <col min="6" max="6" width="16.125" style="1" customWidth="1"/>
    <col min="7" max="7" width="17.625" style="1" customWidth="1"/>
    <col min="8" max="8" width="9" style="1" customWidth="1"/>
  </cols>
  <sheetData>
    <row r="1" ht="30" customHeight="1" spans="1:8">
      <c r="A1" s="2" t="s">
        <v>600</v>
      </c>
    </row>
    <row r="2" ht="24" customHeight="1" spans="1:8">
      <c r="A2" s="3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ht="14.25" customHeight="1" spans="1:8">
      <c r="A3" s="5"/>
      <c r="B3" s="6" t="s">
        <v>453</v>
      </c>
      <c r="C3" s="6" t="s">
        <v>454</v>
      </c>
      <c r="D3" s="7">
        <f>100-SUM(D4:D20)</f>
        <v>73.45</v>
      </c>
      <c r="E3" s="8">
        <v>100</v>
      </c>
      <c r="F3" s="8">
        <f>100-SUM(F4:F20)</f>
        <v>73.45</v>
      </c>
      <c r="G3" s="9" t="s">
        <v>297</v>
      </c>
      <c r="H3" s="10" t="s">
        <v>455</v>
      </c>
    </row>
    <row r="4" ht="27" customHeight="1" spans="1:8">
      <c r="A4" s="11"/>
      <c r="B4" s="12" t="s">
        <v>459</v>
      </c>
      <c r="C4" s="12" t="s">
        <v>460</v>
      </c>
      <c r="D4" s="13">
        <v>10</v>
      </c>
      <c r="E4" s="14">
        <v>100</v>
      </c>
      <c r="F4" s="14">
        <v>10</v>
      </c>
      <c r="G4" s="9" t="s">
        <v>355</v>
      </c>
      <c r="H4" s="10" t="s">
        <v>461</v>
      </c>
    </row>
    <row r="5" ht="14.25" customHeight="1" spans="1:8">
      <c r="A5" s="11"/>
      <c r="B5" s="15" t="s">
        <v>456</v>
      </c>
      <c r="C5" s="15" t="s">
        <v>457</v>
      </c>
      <c r="D5" s="13">
        <v>5</v>
      </c>
      <c r="E5" s="14">
        <v>100</v>
      </c>
      <c r="F5" s="14">
        <v>5</v>
      </c>
      <c r="G5" s="9" t="s">
        <v>297</v>
      </c>
      <c r="H5" s="16">
        <v>909554</v>
      </c>
    </row>
    <row r="6" ht="14.25" customHeight="1" spans="1:8">
      <c r="A6" s="11"/>
      <c r="B6" s="15" t="s">
        <v>322</v>
      </c>
      <c r="C6" s="15" t="s">
        <v>323</v>
      </c>
      <c r="D6" s="13">
        <v>2</v>
      </c>
      <c r="E6" s="14">
        <v>100</v>
      </c>
      <c r="F6" s="14">
        <v>2</v>
      </c>
      <c r="G6" s="9" t="s">
        <v>297</v>
      </c>
      <c r="H6" s="10" t="s">
        <v>576</v>
      </c>
    </row>
    <row r="7" ht="27" customHeight="1" spans="1:8">
      <c r="A7" s="11"/>
      <c r="B7" s="12" t="s">
        <v>577</v>
      </c>
      <c r="C7" s="12" t="s">
        <v>578</v>
      </c>
      <c r="D7" s="13">
        <v>2</v>
      </c>
      <c r="E7" s="14">
        <v>100</v>
      </c>
      <c r="F7" s="14">
        <v>2</v>
      </c>
      <c r="G7" s="9" t="s">
        <v>355</v>
      </c>
      <c r="H7" s="10" t="s">
        <v>579</v>
      </c>
    </row>
    <row r="8" ht="24" customHeight="1" spans="1:8">
      <c r="A8" s="11"/>
      <c r="B8" s="17" t="s">
        <v>580</v>
      </c>
      <c r="C8" s="18" t="s">
        <v>581</v>
      </c>
      <c r="D8" s="13">
        <v>2</v>
      </c>
      <c r="E8" s="14">
        <v>100</v>
      </c>
      <c r="F8" s="14">
        <v>2</v>
      </c>
      <c r="G8" s="14" t="s">
        <v>355</v>
      </c>
      <c r="H8" s="10" t="s">
        <v>582</v>
      </c>
    </row>
    <row r="9" ht="27" customHeight="1" spans="1:8">
      <c r="A9" s="11"/>
      <c r="B9" s="12" t="s">
        <v>583</v>
      </c>
      <c r="C9" s="12" t="s">
        <v>584</v>
      </c>
      <c r="D9" s="13">
        <v>2</v>
      </c>
      <c r="E9" s="14">
        <v>100</v>
      </c>
      <c r="F9" s="14">
        <v>2</v>
      </c>
      <c r="G9" s="9" t="s">
        <v>355</v>
      </c>
      <c r="H9" s="10" t="s">
        <v>585</v>
      </c>
    </row>
    <row r="10" ht="14.25" customHeight="1" spans="1:8">
      <c r="A10" s="11"/>
      <c r="B10" s="15" t="s">
        <v>586</v>
      </c>
      <c r="C10" s="15" t="s">
        <v>587</v>
      </c>
      <c r="D10" s="13">
        <v>2</v>
      </c>
      <c r="E10" s="14">
        <v>100</v>
      </c>
      <c r="F10" s="14">
        <v>2</v>
      </c>
      <c r="G10" s="9" t="s">
        <v>355</v>
      </c>
      <c r="H10" s="10" t="s">
        <v>588</v>
      </c>
    </row>
    <row r="11" ht="14.25" customHeight="1" spans="1:8">
      <c r="A11" s="11"/>
      <c r="B11" s="19" t="s">
        <v>519</v>
      </c>
      <c r="C11" s="20" t="s">
        <v>520</v>
      </c>
      <c r="D11" s="13">
        <v>0.5</v>
      </c>
      <c r="E11" s="14">
        <v>100</v>
      </c>
      <c r="F11" s="14">
        <v>0.5</v>
      </c>
      <c r="G11" s="14" t="s">
        <v>355</v>
      </c>
      <c r="H11" s="10" t="s">
        <v>589</v>
      </c>
    </row>
    <row r="12" ht="27" customHeight="1" spans="1:8">
      <c r="A12" s="11"/>
      <c r="B12" s="12" t="s">
        <v>590</v>
      </c>
      <c r="C12" s="12" t="s">
        <v>591</v>
      </c>
      <c r="D12" s="13">
        <v>0.5</v>
      </c>
      <c r="E12" s="14">
        <v>100</v>
      </c>
      <c r="F12" s="14">
        <v>0.5</v>
      </c>
      <c r="G12" s="14" t="s">
        <v>355</v>
      </c>
      <c r="H12" s="10" t="s">
        <v>270</v>
      </c>
    </row>
    <row r="13" ht="14.25" customHeight="1" spans="1:8">
      <c r="A13" s="11"/>
      <c r="B13" s="19" t="s">
        <v>450</v>
      </c>
      <c r="C13" s="20" t="s">
        <v>451</v>
      </c>
      <c r="D13" s="13">
        <v>0.1</v>
      </c>
      <c r="E13" s="14">
        <v>100</v>
      </c>
      <c r="F13" s="14">
        <v>0.1</v>
      </c>
      <c r="G13" s="9" t="s">
        <v>358</v>
      </c>
      <c r="H13" s="21" t="s">
        <v>284</v>
      </c>
    </row>
    <row r="14" ht="40.5" customHeight="1" spans="1:8">
      <c r="A14" s="11"/>
      <c r="B14" s="12" t="s">
        <v>592</v>
      </c>
      <c r="C14" s="12" t="s">
        <v>593</v>
      </c>
      <c r="D14" s="13">
        <v>0.1</v>
      </c>
      <c r="E14" s="14">
        <v>100</v>
      </c>
      <c r="F14" s="14">
        <v>0.1</v>
      </c>
      <c r="G14" s="22" t="s">
        <v>355</v>
      </c>
      <c r="H14" s="10" t="s">
        <v>594</v>
      </c>
    </row>
    <row r="15" ht="14.25" customHeight="1" spans="1:8">
      <c r="B15" s="17" t="s">
        <v>595</v>
      </c>
      <c r="C15" s="18" t="s">
        <v>596</v>
      </c>
      <c r="D15" s="13">
        <v>0.1</v>
      </c>
      <c r="E15" s="14">
        <v>100</v>
      </c>
      <c r="F15" s="14">
        <v>0.1</v>
      </c>
      <c r="G15" s="9" t="s">
        <v>355</v>
      </c>
      <c r="H15" s="10" t="s">
        <v>597</v>
      </c>
    </row>
    <row r="16" ht="14.25" customHeight="1" spans="1:8">
      <c r="B16" s="15" t="s">
        <v>413</v>
      </c>
      <c r="C16" s="15" t="s">
        <v>414</v>
      </c>
      <c r="D16" s="13">
        <v>0.1</v>
      </c>
      <c r="E16" s="14">
        <v>100</v>
      </c>
      <c r="F16" s="14">
        <v>0.1</v>
      </c>
      <c r="G16" s="9" t="s">
        <v>293</v>
      </c>
      <c r="H16" s="10" t="s">
        <v>415</v>
      </c>
    </row>
    <row r="17" ht="14.25" customHeight="1" spans="2:8">
      <c r="B17" s="15" t="s">
        <v>207</v>
      </c>
      <c r="C17" s="15" t="s">
        <v>208</v>
      </c>
      <c r="D17" s="23">
        <v>0.05</v>
      </c>
      <c r="E17" s="14">
        <v>100</v>
      </c>
      <c r="F17" s="23">
        <v>0.05</v>
      </c>
      <c r="G17" s="9" t="s">
        <v>293</v>
      </c>
      <c r="H17" s="10" t="s">
        <v>209</v>
      </c>
    </row>
    <row r="18" ht="14.25" customHeight="1" spans="2:8">
      <c r="B18" s="15" t="s">
        <v>232</v>
      </c>
      <c r="C18" s="15" t="s">
        <v>233</v>
      </c>
      <c r="D18" s="23">
        <v>0.05</v>
      </c>
      <c r="E18" s="14">
        <v>100</v>
      </c>
      <c r="F18" s="23">
        <v>0.05</v>
      </c>
      <c r="G18" s="9" t="s">
        <v>293</v>
      </c>
      <c r="H18" s="10" t="s">
        <v>234</v>
      </c>
    </row>
    <row r="19" ht="14.25" customHeight="1" spans="2:8">
      <c r="B19" s="15" t="s">
        <v>67</v>
      </c>
      <c r="C19" s="15" t="s">
        <v>292</v>
      </c>
      <c r="D19" s="24">
        <v>0.045</v>
      </c>
      <c r="E19" s="14">
        <v>100</v>
      </c>
      <c r="F19" s="25">
        <v>0.045</v>
      </c>
      <c r="G19" s="9" t="s">
        <v>286</v>
      </c>
      <c r="H19" s="10" t="s">
        <v>70</v>
      </c>
    </row>
    <row r="20" ht="27" customHeight="1" spans="2:8">
      <c r="B20" s="26" t="s">
        <v>256</v>
      </c>
      <c r="C20" s="26" t="s">
        <v>257</v>
      </c>
      <c r="D20" s="27">
        <v>0.005</v>
      </c>
      <c r="E20" s="14">
        <v>100</v>
      </c>
      <c r="F20" s="22">
        <v>0.005</v>
      </c>
      <c r="G20" s="9" t="s">
        <v>355</v>
      </c>
      <c r="H20" s="10" t="s">
        <v>258</v>
      </c>
    </row>
    <row r="21" ht="14.25" customHeight="1" spans="2:8">
      <c r="B21" s="28"/>
      <c r="C21" s="28"/>
      <c r="D21" s="14"/>
      <c r="E21" s="29"/>
      <c r="F21" s="14"/>
      <c r="G21" s="9"/>
      <c r="H21" s="10"/>
    </row>
    <row r="22" ht="14.25" customHeight="1" spans="2:8">
      <c r="B22" s="28"/>
      <c r="C22" s="28"/>
      <c r="D22" s="14"/>
      <c r="E22" s="29"/>
      <c r="F22" s="14"/>
      <c r="G22" s="9"/>
      <c r="H22" s="10"/>
    </row>
    <row r="23" ht="14.25" customHeight="1" spans="2:8">
      <c r="B23" s="28"/>
      <c r="C23" s="28"/>
      <c r="D23" s="14"/>
      <c r="E23" s="29"/>
      <c r="F23" s="14"/>
      <c r="G23" s="9"/>
      <c r="H23" s="10"/>
    </row>
    <row r="24" ht="14.25" customHeight="1" spans="2:8">
      <c r="B24" s="28"/>
      <c r="C24" s="28"/>
      <c r="D24" s="14"/>
      <c r="E24" s="29"/>
      <c r="F24" s="14"/>
      <c r="G24" s="9"/>
      <c r="H24" s="10"/>
    </row>
    <row r="25" ht="14.25" customHeight="1" spans="2:8">
      <c r="B25" s="28"/>
      <c r="C25" s="28"/>
      <c r="D25" s="14"/>
      <c r="E25" s="29"/>
      <c r="F25" s="14"/>
      <c r="G25" s="9"/>
      <c r="H25" s="10"/>
    </row>
    <row r="26" ht="14.25" customHeight="1" spans="2:8">
      <c r="B26" s="28"/>
      <c r="C26" s="28"/>
      <c r="D26" s="14"/>
      <c r="E26" s="29"/>
      <c r="F26" s="14"/>
      <c r="G26" s="9"/>
      <c r="H26" s="10"/>
    </row>
    <row r="27" ht="14.25" customHeight="1" spans="2:8">
      <c r="B27" s="28"/>
      <c r="C27" s="28"/>
      <c r="D27" s="14"/>
      <c r="E27" s="29"/>
      <c r="F27" s="14"/>
      <c r="G27" s="9"/>
      <c r="H27" s="10"/>
    </row>
    <row r="28" ht="14.25" customHeight="1" spans="2:8">
      <c r="B28" s="28"/>
      <c r="C28" s="28"/>
      <c r="D28" s="14"/>
      <c r="E28" s="29"/>
      <c r="F28" s="14"/>
      <c r="G28" s="9"/>
      <c r="H28" s="10"/>
    </row>
    <row r="29" ht="14.25" customHeight="1" spans="2:8">
      <c r="B29" s="28"/>
      <c r="C29" s="28"/>
      <c r="D29" s="14"/>
      <c r="E29" s="29"/>
      <c r="F29" s="14"/>
      <c r="G29" s="9"/>
      <c r="H29" s="10"/>
    </row>
    <row r="30" ht="14.25" customHeight="1" spans="2:8">
      <c r="B30" s="28"/>
      <c r="C30" s="28"/>
      <c r="D30" s="14"/>
      <c r="E30" s="29"/>
      <c r="F30" s="14"/>
      <c r="G30" s="9"/>
      <c r="H30" s="10"/>
    </row>
    <row r="31" ht="14.25" customHeight="1" spans="2:8">
      <c r="B31" s="28"/>
      <c r="C31" s="28"/>
      <c r="D31" s="14"/>
      <c r="E31" s="29"/>
      <c r="F31" s="14"/>
      <c r="G31" s="9"/>
      <c r="H31" s="10"/>
    </row>
    <row r="32" ht="14.25" customHeight="1" spans="2:8">
      <c r="B32" s="28"/>
      <c r="C32" s="28"/>
      <c r="D32" s="14"/>
      <c r="E32" s="29"/>
      <c r="F32" s="14"/>
      <c r="G32" s="9"/>
      <c r="H32" s="10"/>
    </row>
    <row r="33" spans="2:8">
      <c r="B33" s="28"/>
      <c r="C33" s="28"/>
      <c r="D33" s="29"/>
      <c r="E33" s="29"/>
      <c r="F33" s="29"/>
      <c r="G33" s="9"/>
      <c r="H33" s="10"/>
    </row>
    <row r="34" spans="2:8">
      <c r="B34" s="28"/>
      <c r="C34" s="28"/>
      <c r="D34" s="29"/>
      <c r="E34" s="29"/>
      <c r="F34" s="29"/>
      <c r="G34" s="9"/>
      <c r="H34" s="21"/>
    </row>
    <row r="35" spans="2:8">
      <c r="B35" s="28"/>
      <c r="C35" s="28"/>
      <c r="D35" s="29"/>
      <c r="E35" s="29"/>
      <c r="F35" s="29"/>
      <c r="G35" s="9"/>
      <c r="H35" s="21"/>
    </row>
    <row r="36" spans="2:8">
      <c r="B36" s="28"/>
      <c r="C36" s="28"/>
      <c r="D36" s="29"/>
      <c r="E36" s="29"/>
      <c r="F36" s="29"/>
      <c r="G36" s="9"/>
      <c r="H36" s="10"/>
    </row>
    <row r="37" spans="2:8">
      <c r="B37" s="28"/>
      <c r="C37" s="28"/>
      <c r="D37" s="29"/>
      <c r="E37" s="29"/>
      <c r="F37" s="29"/>
      <c r="G37" s="9"/>
      <c r="H37" s="10"/>
    </row>
    <row r="38" spans="2:8">
      <c r="B38" s="28"/>
      <c r="C38" s="28"/>
      <c r="D38" s="29"/>
      <c r="E38" s="29"/>
      <c r="F38" s="29"/>
      <c r="G38" s="9"/>
      <c r="H38" s="21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MSDS基本资料</vt:lpstr>
      <vt:lpstr>第一款成分</vt:lpstr>
      <vt:lpstr>第二款成分</vt:lpstr>
      <vt:lpstr>第三款成分</vt:lpstr>
      <vt:lpstr>第四款成分</vt:lpstr>
      <vt:lpstr>第五款成分</vt:lpstr>
      <vt:lpstr>第六款成分</vt:lpstr>
      <vt:lpstr>第七款成分</vt:lpstr>
      <vt:lpstr>第八款成分</vt:lpstr>
      <vt:lpstr>第九款成分</vt:lpstr>
      <vt:lpstr>第十款成分</vt:lpstr>
      <vt:lpstr>第十一款成分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ybj</dc:creator>
  <cp:lastModifiedBy>赖国勇</cp:lastModifiedBy>
  <dcterms:created xsi:type="dcterms:W3CDTF">2022-10-08T09:42:00Z</dcterms:created>
  <dcterms:modified xsi:type="dcterms:W3CDTF">2026-05-18T04:46:30Z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FE3C120E3A9547E6B9169C3E60E5856D_13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