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6"/>
  </bookViews>
  <sheets>
    <sheet name="MSDS基本资料" sheetId="1" r:id="rId1"/>
    <sheet name="第一款成分" sheetId="2" r:id="rId2"/>
    <sheet name="第二款成分" sheetId="3" r:id="rId3"/>
    <sheet name="第三款成分" sheetId="4" r:id="rId4"/>
    <sheet name="第四款成分" sheetId="5" r:id="rId5"/>
    <sheet name="第五款成分" sheetId="6" r:id="rId6"/>
    <sheet name="第六款成分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<sst xmlns="http://schemas.openxmlformats.org/spreadsheetml/2006/main" count="381" uniqueCount="97">
  <si>
    <t>序号</t>
  </si>
  <si>
    <t>MSDS 出报告信息确认
（如果双语言就是填中文和英文资料）</t>
  </si>
  <si>
    <t>委托单位名称中文与英文</t>
  </si>
  <si>
    <t>厦门冰丽研化妆品有限公司 / Xiamen Bingliyan Cosmetics Co., Ltd.</t>
  </si>
  <si>
    <t>委托单位地址中文与英文</t>
  </si>
  <si>
    <t>中国厦门市思明区莲前西路2号2503室A区 / Room 2503A, Block A, No. 2 Lianqian West Road, Siming District, Xiamen City, China</t>
  </si>
  <si>
    <t>生产单位名称中文与英文</t>
  </si>
  <si>
    <t>韶关市古晴化妆品有限公司 / Shaoguan Guqing Cosmetics Co., Ltd.</t>
  </si>
  <si>
    <t>生产单位地址中文与英文</t>
  </si>
  <si>
    <t>中国韶关市武江区科阳三路109号厂房二首层 / 2nd Floor, Factory Building No. 109, Keyang 3rd Road, Wujiang District, Shaoguan City, China</t>
  </si>
  <si>
    <t>联系人</t>
  </si>
  <si>
    <t>张煜</t>
  </si>
  <si>
    <t>电话</t>
  </si>
  <si>
    <t>13275024852</t>
  </si>
  <si>
    <t>紧急联系固话</t>
  </si>
  <si>
    <t>邮箱</t>
  </si>
  <si>
    <t>Richard@icelerskin.com</t>
  </si>
  <si>
    <t>报告标准（联合国，欧盟，美国，中国）
（版本标准，进单后不可变更，需提前确认好）</t>
  </si>
  <si>
    <t>语言（单语言还是双语言）</t>
  </si>
  <si>
    <t>英文</t>
  </si>
  <si>
    <t>第一页</t>
  </si>
  <si>
    <t>第二页</t>
  </si>
  <si>
    <t>第三页</t>
  </si>
  <si>
    <t>第四页</t>
  </si>
  <si>
    <t>第五页</t>
  </si>
  <si>
    <t>第六页</t>
  </si>
  <si>
    <t>产品名称中文/英文</t>
  </si>
  <si>
    <t>CHIC.PEAK 双头唇膏+唇线笔-204 / CHIC.PEAK-SUPER STAY DOUBLE-END LIP STICK &amp; LIP LINER-#CINNAMON LATTE 204</t>
  </si>
  <si>
    <t>CHIC.PEAK 双头唇膏+唇线笔-201 / CHIC.PEAK-SUPER STAY DOUBLE-END LIP STICK &amp; LIP LINER-#DUSTY ROSE 201</t>
  </si>
  <si>
    <t>CHIC.PEAK 双头唇膏+唇线笔-205 / CHIC.PEAK-SUPER STAY DOUBLE-END LIP STICK &amp; LIP LINER-#MOLASSES DATE 205</t>
  </si>
  <si>
    <t>CHIC.PEAK 双头唇膏+唇线笔-203 / CHIC.PEAK-SUPER STAY DOUBLE-END LIP STICK &amp; LIP LINER-#NUDE APRICOT 203</t>
  </si>
  <si>
    <t>CHIC.PEAK 双头唇膏+唇线笔-206 / CHIC.PEAK-SUPER STAY DOUBLE-END LIP STICK &amp; LIP LINER-#TULIP CORAL 206</t>
  </si>
  <si>
    <t>CHIC.PEAK 双头唇膏+唇线笔-202 / CHIC.PEAK-SUPER STAY DOUBLE-END LIP STICK &amp; LIP LINER-#VELVET PEACH 202</t>
  </si>
  <si>
    <t>外观性状</t>
  </si>
  <si>
    <t>Cinnamon Latte Stick</t>
  </si>
  <si>
    <t>Dusty Rose Stick</t>
  </si>
  <si>
    <t>Molasses Date Stick</t>
  </si>
  <si>
    <t>Nude Apricot Stick</t>
  </si>
  <si>
    <t>Tulip Coral Stick</t>
  </si>
  <si>
    <t>Velvet Peach Stick</t>
  </si>
  <si>
    <t>气味</t>
  </si>
  <si>
    <t>Slight Odor</t>
  </si>
  <si>
    <t>PH值</t>
  </si>
  <si>
    <t>闪点（闭杯）</t>
  </si>
  <si>
    <t>溶解性</t>
  </si>
  <si>
    <t>产品配方表（货物成分，CAS号，及百分比含量）
（配方需提前好，进单后不可变更）</t>
  </si>
  <si>
    <t>CHIC.PEAK-SUPER STAY DOUBLE-END LIP STICK &amp; LIP LINER-#CINNAMON LATTE 204</t>
  </si>
  <si>
    <t>No</t>
  </si>
  <si>
    <t>标准 standard</t>
  </si>
  <si>
    <t>成分名称 ingredients</t>
  </si>
  <si>
    <t>Wt%</t>
  </si>
  <si>
    <t>Mixure ratio</t>
  </si>
  <si>
    <t>Actual Wt (%)</t>
  </si>
  <si>
    <t>功能 Function</t>
  </si>
  <si>
    <t>CAS No</t>
  </si>
  <si>
    <t>环五聚二甲基硅氧烷</t>
  </si>
  <si>
    <t>CYCLOPENTASILOXANE</t>
  </si>
  <si>
    <t>成膜剂</t>
  </si>
  <si>
    <t>541-02-6</t>
  </si>
  <si>
    <t>三甲基硅烷氧基硅酸酯</t>
  </si>
  <si>
    <t>TRIMETHYLSILOXYSILICATE</t>
  </si>
  <si>
    <t>-</t>
  </si>
  <si>
    <t>润肤剂</t>
  </si>
  <si>
    <t>合成蜡</t>
  </si>
  <si>
    <t>SYNTHETIC WAX</t>
  </si>
  <si>
    <t>8002-74-2</t>
  </si>
  <si>
    <t>硅石</t>
  </si>
  <si>
    <t>SILICA</t>
  </si>
  <si>
    <t>填充剂</t>
  </si>
  <si>
    <t>7631-86-9</t>
  </si>
  <si>
    <t>小烛树（EUPHORBIA CERIFERA）蜡</t>
  </si>
  <si>
    <t>EUPHORBIA CERIFERA (CANDELILLA) WAX</t>
  </si>
  <si>
    <t>结构剂</t>
  </si>
  <si>
    <t>8006-44-8</t>
  </si>
  <si>
    <t>CI 77491</t>
  </si>
  <si>
    <t>着色剂</t>
  </si>
  <si>
    <t>1309-37-1</t>
  </si>
  <si>
    <t>CI 77891</t>
  </si>
  <si>
    <t>13463-67-7</t>
  </si>
  <si>
    <t>微晶蜡</t>
  </si>
  <si>
    <t>MICROCRYSTALLINE WAX</t>
  </si>
  <si>
    <t>增稠剂</t>
  </si>
  <si>
    <t>63231-60-7</t>
  </si>
  <si>
    <t>丁羟甲苯</t>
  </si>
  <si>
    <t>BHT</t>
  </si>
  <si>
    <t>128-37-0</t>
  </si>
  <si>
    <t>CI 77499</t>
  </si>
  <si>
    <t>1317-61-9</t>
  </si>
  <si>
    <t>CI 15850</t>
  </si>
  <si>
    <t xml:space="preserve"> 5281-04-9</t>
  </si>
  <si>
    <t>CHIC.PEAK-SUPER STAY DOUBLE-END LIP STICK &amp; LIP LINER-#DUSTY ROSE 201</t>
  </si>
  <si>
    <t>CHIC.PEAK-SUPER STAY DOUBLE-END LIP STICK &amp; LIP LINER-#MOLASSES DATE 205</t>
  </si>
  <si>
    <t>CI 15985</t>
  </si>
  <si>
    <t>2783-94-0</t>
  </si>
  <si>
    <t>CHIC.PEAK-SUPER STAY DOUBLE-END LIP STICK &amp; LIP LINER-#NUDE APRICOT 203</t>
  </si>
  <si>
    <t>CHIC.PEAK-SUPER STAY DOUBLE-END LIP STICK &amp; LIP LINER-#TULIP CORAL 206</t>
  </si>
  <si>
    <t>CHIC.PEAK-SUPER STAY DOUBLE-END LIP STICK &amp; LIP LINER-#VELVET PEACH 202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</si>
</sst>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[$-409]mmm&quot;-&quot;yy;@"/>
  </numFmts>
  <fonts count="30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2"/>
      <name val="华文楷体"/>
      <charset val="134"/>
    </font>
    <font>
      <sz val="11"/>
      <name val="宋体"/>
      <charset val="134"/>
    </font>
    <font>
      <sz val="10"/>
      <color indexed="8"/>
      <name val="宋体"/>
      <charset val="134"/>
    </font>
    <font>
      <sz val="10"/>
      <color rgb="FF000000"/>
      <name val="宋体"/>
      <charset val="134"/>
    </font>
    <font>
      <sz val="10"/>
      <color theme="1"/>
      <name val="仿宋_GB2312"/>
      <charset val="134"/>
    </font>
    <font>
      <sz val="12"/>
      <color theme="1"/>
      <name val="宋体"/>
      <charset val="134"/>
      <scheme val="minor"/>
    </font>
    <font>
      <sz val="11"/>
      <color theme="1"/>
      <name val="仿宋_GB2312"/>
      <charset val="134"/>
    </font>
    <font>
      <sz val="10"/>
      <name val="宋体"/>
      <charset val="134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3" borderId="23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24">
      <alignment vertical="center"/>
    </xf>
    <xf numFmtId="0" fontId="17" fillId="0" borderId="24">
      <alignment vertical="center"/>
    </xf>
    <xf numFmtId="0" fontId="18" fillId="0" borderId="25">
      <alignment vertical="center"/>
    </xf>
    <xf numFmtId="0" fontId="18" fillId="0" borderId="0">
      <alignment vertical="center"/>
    </xf>
    <xf numFmtId="0" fontId="19" fillId="4" borderId="26">
      <alignment vertical="center"/>
    </xf>
    <xf numFmtId="0" fontId="20" fillId="5" borderId="27">
      <alignment vertical="center"/>
    </xf>
    <xf numFmtId="0" fontId="21" fillId="5" borderId="26">
      <alignment vertical="center"/>
    </xf>
    <xf numFmtId="0" fontId="22" fillId="6" borderId="28">
      <alignment vertical="center"/>
    </xf>
    <xf numFmtId="0" fontId="23" fillId="0" borderId="29">
      <alignment vertical="center"/>
    </xf>
    <xf numFmtId="0" fontId="24" fillId="0" borderId="30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29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  <xf numFmtId="0" fontId="0" fillId="0" borderId="0">
      <alignment vertical="center"/>
    </xf>
  </cellStyleXfs>
  <cellXfs count="54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1" fillId="2" borderId="0" xfId="49" applyFont="1" applyFill="1" applyAlignment="1">
      <alignment vertical="center"/>
    </xf>
    <xf numFmtId="0" fontId="1" fillId="2" borderId="0" xfId="0" applyFont="1" applyFill="1" applyAlignment="1">
      <alignment vertical="center"/>
    </xf>
    <xf numFmtId="176" fontId="2" fillId="2" borderId="1" xfId="49" applyNumberFormat="1" applyFont="1" applyFill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 wrapText="1" shrinkToFit="1"/>
    </xf>
    <xf numFmtId="0" fontId="5" fillId="0" borderId="1" xfId="49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 shrinkToFi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5" fillId="0" borderId="1" xfId="0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 shrinkToFit="1"/>
    </xf>
    <xf numFmtId="177" fontId="6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49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13" xfId="0" applyBorder="1" applyAlignment="1"/>
    <xf numFmtId="0" fontId="0" fillId="0" borderId="14" xfId="0" applyBorder="1" applyAlignment="1"/>
    <xf numFmtId="0" fontId="0" fillId="2" borderId="1" xfId="0" applyFill="1" applyBorder="1" applyAlignment="1">
      <alignment vertical="center" wrapText="1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2" borderId="21" xfId="0" applyFill="1" applyBorder="1" applyAlignment="1">
      <alignment horizontal="left" vertical="center" wrapText="1"/>
    </xf>
    <xf numFmtId="0" fontId="0" fillId="0" borderId="21" xfId="0" applyBorder="1" applyAlignment="1">
      <alignment vertical="center" wrapTex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opLeftCell="A2" workbookViewId="0">
      <selection activeCell="B10" sqref="B10"/>
    </sheetView>
  </sheetViews>
  <sheetFormatPr defaultColWidth="9" defaultRowHeight="13.5"/>
  <cols>
    <col min="1" max="1" width="7.625" style="27" customWidth="1"/>
    <col min="2" max="2" width="40.375" style="1" customWidth="1"/>
    <col min="3" max="6" width="15.625" style="1" customWidth="1"/>
    <col min="7" max="8" width="13" style="1" customWidth="1"/>
    <col min="9" max="11" width="15.625" style="1" customWidth="1"/>
  </cols>
  <sheetData>
    <row r="1" ht="62" customHeight="1" spans="1:11">
      <c r="A1" s="28" t="s">
        <v>0</v>
      </c>
      <c r="B1" s="29" t="s">
        <v>1</v>
      </c>
      <c r="C1" s="30"/>
      <c r="D1" s="30"/>
      <c r="E1" s="30"/>
      <c r="F1" s="30"/>
      <c r="G1" s="30"/>
      <c r="H1" s="30"/>
      <c r="I1" s="30"/>
      <c r="J1" s="30"/>
      <c r="K1" s="31"/>
    </row>
    <row r="2" ht="29.25" customHeight="1" spans="1:11">
      <c r="A2" s="32">
        <v>1</v>
      </c>
      <c r="B2" s="33" t="s">
        <v>2</v>
      </c>
      <c r="C2" s="34" t="s">
        <v>3</v>
      </c>
      <c r="D2" s="35"/>
      <c r="E2" s="35"/>
      <c r="F2" s="35"/>
      <c r="G2" s="35"/>
      <c r="H2" s="35"/>
      <c r="I2" s="35"/>
      <c r="J2" s="35"/>
      <c r="K2" s="36"/>
    </row>
    <row r="3" ht="29.25" customHeight="1" spans="1:11">
      <c r="A3" s="32">
        <v>2</v>
      </c>
      <c r="B3" s="33" t="s">
        <v>4</v>
      </c>
      <c r="C3" s="34" t="s">
        <v>5</v>
      </c>
      <c r="D3" s="35"/>
      <c r="E3" s="35"/>
      <c r="F3" s="35"/>
      <c r="G3" s="35"/>
      <c r="H3" s="35"/>
      <c r="I3" s="35"/>
      <c r="J3" s="35"/>
      <c r="K3" s="36"/>
    </row>
    <row r="4" ht="29.25" customHeight="1" spans="1:11">
      <c r="A4" s="32">
        <v>3</v>
      </c>
      <c r="B4" s="33" t="s">
        <v>6</v>
      </c>
      <c r="C4" s="34" t="s">
        <v>7</v>
      </c>
      <c r="D4" s="35"/>
      <c r="E4" s="35"/>
      <c r="F4" s="35"/>
      <c r="G4" s="35"/>
      <c r="H4" s="35"/>
      <c r="I4" s="35"/>
      <c r="J4" s="35"/>
      <c r="K4" s="36"/>
    </row>
    <row r="5" ht="29.25" customHeight="1" spans="1:11">
      <c r="A5" s="32">
        <v>4</v>
      </c>
      <c r="B5" s="33" t="s">
        <v>8</v>
      </c>
      <c r="C5" s="34" t="s">
        <v>9</v>
      </c>
      <c r="D5" s="35"/>
      <c r="E5" s="35"/>
      <c r="F5" s="35"/>
      <c r="G5" s="35"/>
      <c r="H5" s="35"/>
      <c r="I5" s="35"/>
      <c r="J5" s="35"/>
      <c r="K5" s="36"/>
    </row>
    <row r="6" ht="29.25" customHeight="1" spans="1:11">
      <c r="A6" s="37">
        <v>5</v>
      </c>
      <c r="B6" s="33" t="s">
        <v>10</v>
      </c>
      <c r="C6" s="34" t="s">
        <v>11</v>
      </c>
      <c r="D6" s="35"/>
      <c r="E6" s="35"/>
      <c r="F6" s="35"/>
      <c r="G6" s="35"/>
      <c r="H6" s="35"/>
      <c r="I6" s="35"/>
      <c r="J6" s="35"/>
      <c r="K6" s="36"/>
    </row>
    <row r="7" ht="29.25" customHeight="1" spans="1:11">
      <c r="A7" s="37">
        <v>6</v>
      </c>
      <c r="B7" s="33" t="s">
        <v>12</v>
      </c>
      <c r="C7" s="34" t="s">
        <v>13</v>
      </c>
      <c r="D7" s="35"/>
      <c r="E7" s="35"/>
      <c r="F7" s="35"/>
      <c r="G7" s="35"/>
      <c r="H7" s="35"/>
      <c r="I7" s="35"/>
      <c r="J7" s="35"/>
      <c r="K7" s="36"/>
    </row>
    <row r="8" ht="29.25" customHeight="1" spans="1:11">
      <c r="A8" s="37">
        <v>7</v>
      </c>
      <c r="B8" s="33" t="s">
        <v>14</v>
      </c>
      <c r="C8" s="34"/>
      <c r="D8" s="35"/>
      <c r="E8" s="35"/>
      <c r="F8" s="35"/>
      <c r="G8" s="35"/>
      <c r="H8" s="35"/>
      <c r="I8" s="35"/>
      <c r="J8" s="35"/>
      <c r="K8" s="36"/>
    </row>
    <row r="9" ht="29.25" customHeight="1" spans="1:11">
      <c r="A9" s="37">
        <v>8</v>
      </c>
      <c r="B9" s="33" t="s">
        <v>15</v>
      </c>
      <c r="C9" s="38" t="s">
        <v>16</v>
      </c>
      <c r="D9" s="39"/>
      <c r="E9" s="39"/>
      <c r="F9" s="39"/>
      <c r="G9" s="39"/>
      <c r="H9" s="39"/>
      <c r="I9" s="39"/>
      <c r="J9" s="39"/>
      <c r="K9" s="40"/>
    </row>
    <row r="10" ht="54" customHeight="1" spans="1:11">
      <c r="A10" s="37">
        <v>9</v>
      </c>
      <c r="B10" s="41" t="s">
        <v>17</v>
      </c>
      <c r="C10" s="38"/>
      <c r="D10" s="39"/>
      <c r="E10" s="39"/>
      <c r="F10" s="39"/>
      <c r="G10" s="39"/>
      <c r="H10" s="39"/>
      <c r="I10" s="39"/>
      <c r="J10" s="39"/>
      <c r="K10" s="40"/>
    </row>
    <row r="11" ht="29.25" customHeight="1" spans="1:11">
      <c r="A11" s="37">
        <v>10</v>
      </c>
      <c r="B11" s="42" t="s">
        <v>18</v>
      </c>
      <c r="C11" s="43" t="s">
        <v>19</v>
      </c>
      <c r="D11" s="39"/>
      <c r="E11" s="39"/>
      <c r="F11" s="39"/>
      <c r="G11" s="39"/>
      <c r="H11" s="39"/>
      <c r="I11" s="39"/>
      <c r="J11" s="39"/>
      <c r="K11" s="40"/>
    </row>
    <row r="12" ht="29.25" customHeight="1" spans="1:11">
      <c r="A12" s="37">
        <v>11</v>
      </c>
      <c r="B12" s="42"/>
      <c r="C12" s="44" t="s">
        <v>20</v>
      </c>
      <c r="D12" s="45" t="s">
        <v>21</v>
      </c>
      <c r="E12" s="45" t="s">
        <v>22</v>
      </c>
      <c r="F12" s="45" t="s">
        <v>23</v>
      </c>
      <c r="G12" s="45" t="s">
        <v>24</v>
      </c>
      <c r="H12" s="45" t="s">
        <v>25</v>
      </c>
      <c r="I12" s="45"/>
      <c r="J12" s="45"/>
      <c r="K12" s="46"/>
    </row>
    <row r="13" ht="29.25" customHeight="1" spans="1:11">
      <c r="A13" s="37">
        <v>12</v>
      </c>
      <c r="B13" s="33" t="s">
        <v>26</v>
      </c>
      <c r="C13" s="47" t="s">
        <v>27</v>
      </c>
      <c r="D13" s="47" t="s">
        <v>28</v>
      </c>
      <c r="E13" s="47" t="s">
        <v>29</v>
      </c>
      <c r="F13" s="47" t="s">
        <v>30</v>
      </c>
      <c r="G13" s="47" t="s">
        <v>31</v>
      </c>
      <c r="H13" s="47" t="s">
        <v>32</v>
      </c>
      <c r="I13" s="47"/>
      <c r="J13" s="47"/>
      <c r="K13" s="48"/>
    </row>
    <row r="14" ht="29.25" customHeight="1" spans="1:11">
      <c r="A14" s="37">
        <v>13</v>
      </c>
      <c r="B14" s="33" t="s">
        <v>33</v>
      </c>
      <c r="C14" s="33" t="s">
        <v>34</v>
      </c>
      <c r="D14" s="33" t="s">
        <v>35</v>
      </c>
      <c r="E14" s="33" t="s">
        <v>36</v>
      </c>
      <c r="F14" s="33" t="s">
        <v>37</v>
      </c>
      <c r="G14" s="33" t="s">
        <v>38</v>
      </c>
      <c r="H14" s="33" t="s">
        <v>39</v>
      </c>
      <c r="I14" s="33"/>
      <c r="J14" s="33"/>
      <c r="K14" s="49"/>
    </row>
    <row r="15" ht="29.25" customHeight="1" spans="1:11">
      <c r="A15" s="37">
        <v>14</v>
      </c>
      <c r="B15" s="33" t="s">
        <v>40</v>
      </c>
      <c r="C15" s="33" t="s">
        <v>41</v>
      </c>
      <c r="D15" s="33" t="s">
        <v>41</v>
      </c>
      <c r="E15" s="33" t="s">
        <v>41</v>
      </c>
      <c r="F15" s="33" t="s">
        <v>41</v>
      </c>
      <c r="G15" s="33" t="s">
        <v>41</v>
      </c>
      <c r="H15" s="33" t="s">
        <v>41</v>
      </c>
      <c r="I15" s="33"/>
      <c r="J15" s="33"/>
      <c r="K15" s="49"/>
    </row>
    <row r="16" ht="29.25" customHeight="1" spans="1:11">
      <c r="A16" s="37">
        <v>15</v>
      </c>
      <c r="B16" s="33" t="s">
        <v>42</v>
      </c>
      <c r="C16" s="33"/>
      <c r="D16" s="33"/>
      <c r="E16" s="33"/>
      <c r="F16" s="33"/>
      <c r="G16" s="33"/>
      <c r="H16" s="33"/>
      <c r="I16" s="33"/>
      <c r="J16" s="33"/>
      <c r="K16" s="49"/>
    </row>
    <row r="17" ht="29.25" customHeight="1" spans="1:11">
      <c r="A17" s="37">
        <v>16</v>
      </c>
      <c r="B17" s="33" t="s">
        <v>43</v>
      </c>
      <c r="C17" s="33"/>
      <c r="D17" s="33"/>
      <c r="E17" s="33"/>
      <c r="F17" s="33"/>
      <c r="G17" s="33"/>
      <c r="H17" s="33"/>
      <c r="I17" s="33"/>
      <c r="J17" s="33"/>
      <c r="K17" s="49"/>
    </row>
    <row r="18" ht="29.25" customHeight="1" spans="1:11">
      <c r="A18" s="37">
        <v>17</v>
      </c>
      <c r="B18" s="33" t="s">
        <v>44</v>
      </c>
      <c r="C18" s="33"/>
      <c r="D18" s="33"/>
      <c r="E18" s="33"/>
      <c r="F18" s="33"/>
      <c r="G18" s="33"/>
      <c r="H18" s="33"/>
      <c r="I18" s="33"/>
      <c r="J18" s="33"/>
      <c r="K18" s="49"/>
    </row>
    <row r="19" ht="46" customHeight="1" spans="1:11">
      <c r="A19" s="37">
        <v>18</v>
      </c>
      <c r="B19" s="50" t="s">
        <v>45</v>
      </c>
      <c r="C19" s="51"/>
      <c r="D19" s="52"/>
      <c r="E19" s="52"/>
      <c r="F19" s="52"/>
      <c r="G19" s="52"/>
      <c r="H19" s="52"/>
      <c r="I19" s="52"/>
      <c r="J19" s="52"/>
      <c r="K19" s="53"/>
    </row>
  </sheetData>
  <mergeCells count="11">
    <mergeCell ref="B1:K1"/>
    <mergeCell ref="C2:K2"/>
    <mergeCell ref="C3:K3"/>
    <mergeCell ref="C4:K4"/>
    <mergeCell ref="C5:K5"/>
    <mergeCell ref="C6:K6"/>
    <mergeCell ref="C7:K7"/>
    <mergeCell ref="C8:K8"/>
    <mergeCell ref="C9:K9"/>
    <mergeCell ref="C10:K10"/>
    <mergeCell ref="C11:K11"/>
  </mergeCells>
  <hyperlinks>
    <hyperlink ref="C13" location="'第一款成分'!A1" display="CHIC.PEAK 双头唇膏+唇线笔-204 / CHIC.PEAK-SUPER STAY DOUBLE-END LIP STICK &amp; LIP LINER-#CINNAMON LATTE 204"/>
    <hyperlink ref="D13" location="'第二款成分'!A1" display="CHIC.PEAK 双头唇膏+唇线笔-201 / CHIC.PEAK-SUPER STAY DOUBLE-END LIP STICK &amp; LIP LINER-#DUSTY ROSE 201"/>
    <hyperlink ref="E13" location="'第三款成分'!A1" display="CHIC.PEAK 双头唇膏+唇线笔-205 / CHIC.PEAK-SUPER STAY DOUBLE-END LIP STICK &amp; LIP LINER-#MOLASSES DATE 205"/>
    <hyperlink ref="F13" location="'第四款成分'!A1" display="CHIC.PEAK 双头唇膏+唇线笔-203 / CHIC.PEAK-SUPER STAY DOUBLE-END LIP STICK &amp; LIP LINER-#NUDE APRICOT 203"/>
    <hyperlink ref="G13" location="'第五款成分'!A1" display="CHIC.PEAK 双头唇膏+唇线笔-206 / CHIC.PEAK-SUPER STAY DOUBLE-END LIP STICK &amp; LIP LINER-#TULIP CORAL 206"/>
    <hyperlink ref="H13" location="'第六款成分'!A1" display="CHIC.PEAK 双头唇膏+唇线笔-202 / CHIC.PEAK-SUPER STAY DOUBLE-END LIP STICK &amp; LIP LINER-#VELVET PEACH 202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B4" sqref="B4"/>
    </sheetView>
  </sheetViews>
  <sheetFormatPr defaultColWidth="9" defaultRowHeight="13.5" outlineLevelCol="7"/>
  <cols>
    <col min="1" max="1" width="9" style="1" customWidth="1"/>
    <col min="2" max="2" width="23" style="1" customWidth="1"/>
    <col min="3" max="3" width="25.375" style="1" customWidth="1"/>
    <col min="4" max="4" width="9" style="1" customWidth="1"/>
    <col min="5" max="5" width="16.5" style="1" customWidth="1"/>
    <col min="6" max="6" width="16.125" style="1" customWidth="1"/>
    <col min="7" max="7" width="17.625" style="1" customWidth="1"/>
    <col min="8" max="8" width="13.2583333333333" style="1" customWidth="1"/>
  </cols>
  <sheetData>
    <row r="1" ht="30" customHeight="1" spans="1:8">
      <c r="A1" s="2" t="s">
        <v>46</v>
      </c>
    </row>
    <row r="2" ht="24" customHeight="1" spans="1:8">
      <c r="A2" s="3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ht="28.5" customHeight="1" spans="1:8">
      <c r="A3" s="5"/>
      <c r="B3" s="6" t="s">
        <v>55</v>
      </c>
      <c r="C3" s="6" t="s">
        <v>56</v>
      </c>
      <c r="D3" s="7">
        <v>60</v>
      </c>
      <c r="E3" s="8">
        <v>65</v>
      </c>
      <c r="F3" s="7">
        <f>E3*D3/100</f>
        <v>39</v>
      </c>
      <c r="G3" s="9" t="s">
        <v>57</v>
      </c>
      <c r="H3" s="10" t="s">
        <v>58</v>
      </c>
    </row>
    <row r="4" ht="14.25" customHeight="1" spans="1:8">
      <c r="A4" s="11"/>
      <c r="B4" s="12" t="s">
        <v>59</v>
      </c>
      <c r="C4" s="12" t="s">
        <v>60</v>
      </c>
      <c r="D4" s="13"/>
      <c r="E4" s="14">
        <v>35</v>
      </c>
      <c r="F4" s="9">
        <f>E4*D3/100</f>
        <v>21</v>
      </c>
      <c r="G4" s="13"/>
      <c r="H4" s="15" t="s">
        <v>61</v>
      </c>
    </row>
    <row r="5" ht="19" customHeight="1" spans="1:8">
      <c r="A5" s="11"/>
      <c r="B5" s="16" t="s">
        <v>55</v>
      </c>
      <c r="C5" s="16" t="s">
        <v>56</v>
      </c>
      <c r="D5" s="9">
        <v>14.954</v>
      </c>
      <c r="E5" s="14">
        <v>100</v>
      </c>
      <c r="F5" s="9">
        <v>14.954</v>
      </c>
      <c r="G5" s="17" t="s">
        <v>62</v>
      </c>
      <c r="H5" s="10" t="s">
        <v>58</v>
      </c>
    </row>
    <row r="6" ht="19" customHeight="1" spans="1:8">
      <c r="A6" s="11"/>
      <c r="B6" s="18" t="s">
        <v>63</v>
      </c>
      <c r="C6" s="18" t="s">
        <v>64</v>
      </c>
      <c r="D6" s="19">
        <v>8</v>
      </c>
      <c r="E6" s="20">
        <v>100</v>
      </c>
      <c r="F6" s="19">
        <v>8</v>
      </c>
      <c r="G6" s="10" t="s">
        <v>62</v>
      </c>
      <c r="H6" s="14" t="s">
        <v>65</v>
      </c>
    </row>
    <row r="7" ht="19" customHeight="1" spans="1:8">
      <c r="A7" s="11"/>
      <c r="B7" s="10" t="s">
        <v>66</v>
      </c>
      <c r="C7" s="10" t="s">
        <v>67</v>
      </c>
      <c r="D7" s="10">
        <v>5</v>
      </c>
      <c r="E7" s="20">
        <v>100</v>
      </c>
      <c r="F7" s="10">
        <v>5</v>
      </c>
      <c r="G7" s="10" t="s">
        <v>68</v>
      </c>
      <c r="H7" s="14" t="s">
        <v>69</v>
      </c>
    </row>
    <row r="8" ht="24" customHeight="1" spans="1:8">
      <c r="A8" s="11"/>
      <c r="B8" s="18" t="s">
        <v>70</v>
      </c>
      <c r="C8" s="18" t="s">
        <v>71</v>
      </c>
      <c r="D8" s="19">
        <v>3.5</v>
      </c>
      <c r="E8" s="20">
        <v>100</v>
      </c>
      <c r="F8" s="19">
        <v>3.5</v>
      </c>
      <c r="G8" s="10" t="s">
        <v>72</v>
      </c>
      <c r="H8" s="10" t="s">
        <v>73</v>
      </c>
    </row>
    <row r="9" ht="19" customHeight="1" spans="1:8">
      <c r="A9" s="11"/>
      <c r="B9" s="18" t="s">
        <v>74</v>
      </c>
      <c r="C9" s="18" t="s">
        <v>74</v>
      </c>
      <c r="D9" s="10">
        <v>3.238</v>
      </c>
      <c r="E9" s="20">
        <v>100</v>
      </c>
      <c r="F9" s="10">
        <v>3.238</v>
      </c>
      <c r="G9" s="10" t="s">
        <v>75</v>
      </c>
      <c r="H9" s="10" t="s">
        <v>76</v>
      </c>
    </row>
    <row r="10" ht="19" customHeight="1" spans="1:8">
      <c r="A10" s="11"/>
      <c r="B10" s="21" t="s">
        <v>77</v>
      </c>
      <c r="C10" s="21" t="s">
        <v>77</v>
      </c>
      <c r="D10" s="22">
        <v>2.322</v>
      </c>
      <c r="E10" s="23">
        <v>100</v>
      </c>
      <c r="F10" s="22">
        <v>2.322</v>
      </c>
      <c r="G10" s="24" t="s">
        <v>75</v>
      </c>
      <c r="H10" s="19" t="s">
        <v>78</v>
      </c>
    </row>
    <row r="11" ht="19" customHeight="1" spans="1:8">
      <c r="A11" s="11"/>
      <c r="B11" s="18" t="s">
        <v>79</v>
      </c>
      <c r="C11" s="18" t="s">
        <v>80</v>
      </c>
      <c r="D11" s="10">
        <v>2</v>
      </c>
      <c r="E11" s="10">
        <v>99.9975</v>
      </c>
      <c r="F11" s="10">
        <f>E11*D11/100</f>
        <v>1.99995</v>
      </c>
      <c r="G11" s="10" t="s">
        <v>81</v>
      </c>
      <c r="H11" s="10" t="s">
        <v>82</v>
      </c>
    </row>
    <row r="12" ht="19" customHeight="1" spans="1:8">
      <c r="A12" s="11"/>
      <c r="B12" s="18" t="s">
        <v>83</v>
      </c>
      <c r="C12" s="18" t="s">
        <v>84</v>
      </c>
      <c r="D12" s="13"/>
      <c r="E12" s="10">
        <v>0.0025</v>
      </c>
      <c r="F12" s="10">
        <f>E12*D11/100</f>
        <v>5e-5</v>
      </c>
      <c r="G12" s="13"/>
      <c r="H12" s="10" t="s">
        <v>85</v>
      </c>
    </row>
    <row r="13" ht="19" customHeight="1" spans="1:8">
      <c r="A13" s="11"/>
      <c r="B13" s="18" t="s">
        <v>86</v>
      </c>
      <c r="C13" s="18" t="s">
        <v>86</v>
      </c>
      <c r="D13" s="10">
        <v>0.56</v>
      </c>
      <c r="E13" s="20">
        <v>100</v>
      </c>
      <c r="F13" s="10">
        <v>0.56</v>
      </c>
      <c r="G13" s="10" t="s">
        <v>75</v>
      </c>
      <c r="H13" s="10" t="s">
        <v>87</v>
      </c>
    </row>
    <row r="14" ht="19" customHeight="1" spans="1:8">
      <c r="A14" s="11"/>
      <c r="B14" s="18" t="s">
        <v>88</v>
      </c>
      <c r="C14" s="18" t="s">
        <v>88</v>
      </c>
      <c r="D14" s="10">
        <v>0.426</v>
      </c>
      <c r="E14" s="20">
        <v>100</v>
      </c>
      <c r="F14" s="10">
        <v>0.426</v>
      </c>
      <c r="G14" s="10" t="s">
        <v>75</v>
      </c>
      <c r="H14" s="10" t="s">
        <v>89</v>
      </c>
    </row>
  </sheetData>
  <mergeCells count="5">
    <mergeCell ref="A1:H1"/>
    <mergeCell ref="D3:D4"/>
    <mergeCell ref="D11:D12"/>
    <mergeCell ref="G3:G4"/>
    <mergeCell ref="G11:G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B33" sqref="B33"/>
    </sheetView>
  </sheetViews>
  <sheetFormatPr defaultColWidth="9" defaultRowHeight="13.5" outlineLevelCol="7"/>
  <cols>
    <col min="1" max="1" width="9" style="1" customWidth="1"/>
    <col min="2" max="2" width="23" style="1" customWidth="1"/>
    <col min="3" max="3" width="25.375" style="1" customWidth="1"/>
    <col min="4" max="4" width="9" style="1" customWidth="1"/>
    <col min="5" max="5" width="16.5" style="1" customWidth="1"/>
    <col min="6" max="6" width="16.125" style="1" customWidth="1"/>
    <col min="7" max="7" width="17.625" style="1" customWidth="1"/>
    <col min="8" max="8" width="13.2583333333333" style="1" customWidth="1"/>
  </cols>
  <sheetData>
    <row r="1" ht="30" customHeight="1" spans="1:8">
      <c r="A1" s="2" t="s">
        <v>90</v>
      </c>
    </row>
    <row r="2" ht="24" customHeight="1" spans="1:8">
      <c r="A2" s="3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ht="14.25" customHeight="1" spans="1:8">
      <c r="A3" s="5"/>
      <c r="B3" s="25" t="s">
        <v>55</v>
      </c>
      <c r="C3" s="25" t="s">
        <v>56</v>
      </c>
      <c r="D3" s="7">
        <v>60</v>
      </c>
      <c r="E3" s="8">
        <v>65</v>
      </c>
      <c r="F3" s="7">
        <v>39</v>
      </c>
      <c r="G3" s="9" t="s">
        <v>57</v>
      </c>
      <c r="H3" s="10" t="s">
        <v>58</v>
      </c>
    </row>
    <row r="4" ht="14.25" customHeight="1" spans="1:8">
      <c r="A4" s="11"/>
      <c r="B4" s="10" t="s">
        <v>59</v>
      </c>
      <c r="C4" s="10" t="s">
        <v>60</v>
      </c>
      <c r="D4" s="13"/>
      <c r="E4" s="14">
        <v>35</v>
      </c>
      <c r="F4" s="9">
        <v>21</v>
      </c>
      <c r="G4" s="13"/>
      <c r="H4" s="15" t="s">
        <v>61</v>
      </c>
    </row>
    <row r="5" spans="1:8">
      <c r="A5" s="11"/>
      <c r="B5" s="10" t="s">
        <v>55</v>
      </c>
      <c r="C5" s="10" t="s">
        <v>56</v>
      </c>
      <c r="D5" s="9">
        <v>15.388</v>
      </c>
      <c r="E5" s="14">
        <v>100</v>
      </c>
      <c r="F5" s="9">
        <v>15.388</v>
      </c>
      <c r="G5" s="17" t="s">
        <v>62</v>
      </c>
      <c r="H5" s="10" t="s">
        <v>58</v>
      </c>
    </row>
    <row r="6" spans="1:8">
      <c r="A6" s="11"/>
      <c r="B6" s="18" t="s">
        <v>63</v>
      </c>
      <c r="C6" s="18" t="s">
        <v>64</v>
      </c>
      <c r="D6" s="19">
        <v>8</v>
      </c>
      <c r="E6" s="20">
        <v>100</v>
      </c>
      <c r="F6" s="19">
        <v>8</v>
      </c>
      <c r="G6" s="10" t="s">
        <v>62</v>
      </c>
      <c r="H6" s="14" t="s">
        <v>65</v>
      </c>
    </row>
    <row r="7" spans="1:8">
      <c r="A7" s="11"/>
      <c r="B7" s="10" t="s">
        <v>66</v>
      </c>
      <c r="C7" s="10" t="s">
        <v>67</v>
      </c>
      <c r="D7" s="10">
        <v>5</v>
      </c>
      <c r="E7" s="20">
        <v>100</v>
      </c>
      <c r="F7" s="10">
        <v>5</v>
      </c>
      <c r="G7" s="10" t="s">
        <v>68</v>
      </c>
      <c r="H7" s="14" t="s">
        <v>69</v>
      </c>
    </row>
    <row r="8" ht="24" customHeight="1" spans="1:8">
      <c r="A8" s="11"/>
      <c r="B8" s="10" t="s">
        <v>70</v>
      </c>
      <c r="C8" s="10" t="s">
        <v>71</v>
      </c>
      <c r="D8" s="19">
        <v>3.5</v>
      </c>
      <c r="E8" s="20">
        <v>100</v>
      </c>
      <c r="F8" s="19">
        <v>3.5</v>
      </c>
      <c r="G8" s="10" t="s">
        <v>72</v>
      </c>
      <c r="H8" s="10" t="s">
        <v>73</v>
      </c>
    </row>
    <row r="9" spans="1:8">
      <c r="A9" s="11"/>
      <c r="B9" s="10" t="s">
        <v>77</v>
      </c>
      <c r="C9" s="10" t="s">
        <v>77</v>
      </c>
      <c r="D9" s="22">
        <v>2.958</v>
      </c>
      <c r="E9" s="23">
        <v>100</v>
      </c>
      <c r="F9" s="22">
        <v>2.958</v>
      </c>
      <c r="G9" s="26" t="s">
        <v>75</v>
      </c>
      <c r="H9" s="19" t="s">
        <v>78</v>
      </c>
    </row>
    <row r="10" spans="1:8">
      <c r="A10" s="11"/>
      <c r="B10" s="18" t="s">
        <v>79</v>
      </c>
      <c r="C10" s="18" t="s">
        <v>80</v>
      </c>
      <c r="D10" s="10">
        <v>2</v>
      </c>
      <c r="E10" s="10">
        <v>99.9975</v>
      </c>
      <c r="F10" s="10">
        <v>1.99995</v>
      </c>
      <c r="G10" s="10" t="s">
        <v>81</v>
      </c>
      <c r="H10" s="10" t="s">
        <v>82</v>
      </c>
    </row>
    <row r="11" spans="1:8">
      <c r="A11" s="11"/>
      <c r="B11" s="18" t="s">
        <v>83</v>
      </c>
      <c r="C11" s="18" t="s">
        <v>84</v>
      </c>
      <c r="D11" s="13"/>
      <c r="E11" s="10">
        <v>0.0025</v>
      </c>
      <c r="F11" s="10">
        <v>5e-5</v>
      </c>
      <c r="G11" s="13"/>
      <c r="H11" s="10" t="s">
        <v>85</v>
      </c>
    </row>
    <row r="12" spans="1:8">
      <c r="A12" s="11"/>
      <c r="B12" s="18" t="s">
        <v>74</v>
      </c>
      <c r="C12" s="18" t="s">
        <v>74</v>
      </c>
      <c r="D12" s="10">
        <v>1.804</v>
      </c>
      <c r="E12" s="20">
        <v>100</v>
      </c>
      <c r="F12" s="10">
        <v>1.804</v>
      </c>
      <c r="G12" s="10" t="s">
        <v>75</v>
      </c>
      <c r="H12" s="10" t="s">
        <v>76</v>
      </c>
    </row>
    <row r="13" spans="1:8">
      <c r="A13" s="11"/>
      <c r="B13" s="18" t="s">
        <v>88</v>
      </c>
      <c r="C13" s="18" t="s">
        <v>88</v>
      </c>
      <c r="D13" s="10">
        <v>0.72</v>
      </c>
      <c r="E13" s="20">
        <v>100</v>
      </c>
      <c r="F13" s="10">
        <v>0.72</v>
      </c>
      <c r="G13" s="10" t="s">
        <v>75</v>
      </c>
      <c r="H13" s="10" t="s">
        <v>89</v>
      </c>
    </row>
    <row r="14" spans="1:8">
      <c r="A14" s="11"/>
      <c r="B14" s="18" t="s">
        <v>86</v>
      </c>
      <c r="C14" s="18" t="s">
        <v>86</v>
      </c>
      <c r="D14" s="10">
        <v>0.63</v>
      </c>
      <c r="E14" s="20">
        <v>100</v>
      </c>
      <c r="F14" s="10">
        <v>0.63</v>
      </c>
      <c r="G14" s="10" t="s">
        <v>75</v>
      </c>
      <c r="H14" s="10" t="s">
        <v>87</v>
      </c>
    </row>
  </sheetData>
  <mergeCells count="5">
    <mergeCell ref="A1:H1"/>
    <mergeCell ref="D3:D4"/>
    <mergeCell ref="D10:D11"/>
    <mergeCell ref="G3:G4"/>
    <mergeCell ref="G10:G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E3" sqref="E3"/>
    </sheetView>
  </sheetViews>
  <sheetFormatPr defaultColWidth="9" defaultRowHeight="13.5" outlineLevelCol="7"/>
  <cols>
    <col min="1" max="1" width="9" style="1" customWidth="1"/>
    <col min="2" max="2" width="23" style="1" customWidth="1"/>
    <col min="3" max="3" width="25.375" style="1" customWidth="1"/>
    <col min="4" max="4" width="9" style="1" customWidth="1"/>
    <col min="5" max="5" width="16.5" style="1" customWidth="1"/>
    <col min="6" max="6" width="16.125" style="1" customWidth="1"/>
    <col min="7" max="7" width="17.625" style="1" customWidth="1"/>
    <col min="8" max="8" width="13.2583333333333" style="1" customWidth="1"/>
  </cols>
  <sheetData>
    <row r="1" ht="30" customHeight="1" spans="1:8">
      <c r="A1" s="2" t="s">
        <v>91</v>
      </c>
    </row>
    <row r="2" ht="24" customHeight="1" spans="1:8">
      <c r="A2" s="3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ht="14.25" customHeight="1" spans="1:8">
      <c r="A3" s="5"/>
      <c r="B3" s="6" t="s">
        <v>55</v>
      </c>
      <c r="C3" s="6" t="s">
        <v>56</v>
      </c>
      <c r="D3" s="7">
        <v>60</v>
      </c>
      <c r="E3" s="8">
        <v>65</v>
      </c>
      <c r="F3" s="7">
        <f>E3*D3/100</f>
        <v>39</v>
      </c>
      <c r="G3" s="9" t="s">
        <v>57</v>
      </c>
      <c r="H3" s="10" t="s">
        <v>58</v>
      </c>
    </row>
    <row r="4" ht="14.25" customHeight="1" spans="1:8">
      <c r="A4" s="11"/>
      <c r="B4" s="12" t="s">
        <v>59</v>
      </c>
      <c r="C4" s="12" t="s">
        <v>60</v>
      </c>
      <c r="D4" s="13"/>
      <c r="E4" s="14">
        <v>35</v>
      </c>
      <c r="F4" s="9">
        <f>E4*D3/100</f>
        <v>21</v>
      </c>
      <c r="G4" s="13"/>
      <c r="H4" s="15" t="s">
        <v>61</v>
      </c>
    </row>
    <row r="5" spans="1:8">
      <c r="A5" s="11"/>
      <c r="B5" s="16" t="s">
        <v>55</v>
      </c>
      <c r="C5" s="16" t="s">
        <v>56</v>
      </c>
      <c r="D5" s="9">
        <v>15.706</v>
      </c>
      <c r="E5" s="14">
        <v>100</v>
      </c>
      <c r="F5" s="9">
        <v>15.706</v>
      </c>
      <c r="G5" s="17" t="s">
        <v>62</v>
      </c>
      <c r="H5" s="10" t="s">
        <v>58</v>
      </c>
    </row>
    <row r="6" spans="1:8">
      <c r="A6" s="11"/>
      <c r="B6" s="18" t="s">
        <v>63</v>
      </c>
      <c r="C6" s="18" t="s">
        <v>64</v>
      </c>
      <c r="D6" s="19">
        <v>8</v>
      </c>
      <c r="E6" s="20">
        <v>100</v>
      </c>
      <c r="F6" s="19">
        <v>8</v>
      </c>
      <c r="G6" s="10" t="s">
        <v>62</v>
      </c>
      <c r="H6" s="14" t="s">
        <v>65</v>
      </c>
    </row>
    <row r="7" spans="1:8">
      <c r="A7" s="11"/>
      <c r="B7" s="10" t="s">
        <v>66</v>
      </c>
      <c r="C7" s="10" t="s">
        <v>67</v>
      </c>
      <c r="D7" s="10">
        <v>5</v>
      </c>
      <c r="E7" s="20">
        <v>100</v>
      </c>
      <c r="F7" s="10">
        <v>5</v>
      </c>
      <c r="G7" s="10" t="s">
        <v>68</v>
      </c>
      <c r="H7" s="14" t="s">
        <v>69</v>
      </c>
    </row>
    <row r="8" spans="1:8">
      <c r="A8" s="11"/>
      <c r="B8" s="16" t="s">
        <v>92</v>
      </c>
      <c r="C8" s="16" t="s">
        <v>92</v>
      </c>
      <c r="D8" s="19">
        <v>4.008</v>
      </c>
      <c r="E8" s="20">
        <v>100</v>
      </c>
      <c r="F8" s="19">
        <v>4.008</v>
      </c>
      <c r="G8" s="10" t="s">
        <v>75</v>
      </c>
      <c r="H8" s="10" t="s">
        <v>93</v>
      </c>
    </row>
    <row r="9" ht="24" customHeight="1" spans="1:8">
      <c r="A9" s="11"/>
      <c r="B9" s="18" t="s">
        <v>70</v>
      </c>
      <c r="C9" s="18" t="s">
        <v>71</v>
      </c>
      <c r="D9" s="19">
        <v>3.5</v>
      </c>
      <c r="E9" s="20">
        <v>100</v>
      </c>
      <c r="F9" s="19">
        <v>3.5</v>
      </c>
      <c r="G9" s="10" t="s">
        <v>72</v>
      </c>
      <c r="H9" s="10" t="s">
        <v>73</v>
      </c>
    </row>
    <row r="10" spans="1:8">
      <c r="A10" s="11"/>
      <c r="B10" s="18" t="s">
        <v>79</v>
      </c>
      <c r="C10" s="18" t="s">
        <v>80</v>
      </c>
      <c r="D10" s="10">
        <v>2</v>
      </c>
      <c r="E10" s="10">
        <v>99.9975</v>
      </c>
      <c r="F10" s="10">
        <f>E10*D10/100</f>
        <v>1.99995</v>
      </c>
      <c r="G10" s="10" t="s">
        <v>81</v>
      </c>
      <c r="H10" s="10" t="s">
        <v>82</v>
      </c>
    </row>
    <row r="11" spans="1:8">
      <c r="A11" s="11"/>
      <c r="B11" s="18" t="s">
        <v>83</v>
      </c>
      <c r="C11" s="18" t="s">
        <v>84</v>
      </c>
      <c r="D11" s="13"/>
      <c r="E11" s="10">
        <v>0.0025</v>
      </c>
      <c r="F11" s="10">
        <f>E11*D10/100</f>
        <v>5e-5</v>
      </c>
      <c r="G11" s="13"/>
      <c r="H11" s="10" t="s">
        <v>85</v>
      </c>
    </row>
    <row r="12" spans="1:8">
      <c r="A12" s="11"/>
      <c r="B12" s="18" t="s">
        <v>88</v>
      </c>
      <c r="C12" s="18" t="s">
        <v>88</v>
      </c>
      <c r="D12" s="10">
        <v>1.084</v>
      </c>
      <c r="E12" s="20">
        <v>100</v>
      </c>
      <c r="F12" s="10">
        <v>1.084</v>
      </c>
      <c r="G12" s="10" t="s">
        <v>75</v>
      </c>
      <c r="H12" s="10" t="s">
        <v>89</v>
      </c>
    </row>
    <row r="13" spans="1:8">
      <c r="A13" s="11"/>
      <c r="B13" s="21" t="s">
        <v>77</v>
      </c>
      <c r="C13" s="21" t="s">
        <v>77</v>
      </c>
      <c r="D13" s="22">
        <v>0.58</v>
      </c>
      <c r="E13" s="23">
        <v>100</v>
      </c>
      <c r="F13" s="22">
        <v>0.58</v>
      </c>
      <c r="G13" s="24" t="s">
        <v>75</v>
      </c>
      <c r="H13" s="19" t="s">
        <v>78</v>
      </c>
    </row>
    <row r="14" spans="1:8">
      <c r="A14" s="11"/>
      <c r="B14" s="18" t="s">
        <v>86</v>
      </c>
      <c r="C14" s="18" t="s">
        <v>86</v>
      </c>
      <c r="D14" s="10">
        <v>0.122</v>
      </c>
      <c r="E14" s="20">
        <v>100</v>
      </c>
      <c r="F14" s="10">
        <v>0.122</v>
      </c>
      <c r="G14" s="10" t="s">
        <v>75</v>
      </c>
      <c r="H14" s="10" t="s">
        <v>87</v>
      </c>
    </row>
  </sheetData>
  <mergeCells count="5">
    <mergeCell ref="A1:H1"/>
    <mergeCell ref="D3:D4"/>
    <mergeCell ref="D10:D11"/>
    <mergeCell ref="G3:G4"/>
    <mergeCell ref="G10:G1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E3" sqref="E3"/>
    </sheetView>
  </sheetViews>
  <sheetFormatPr defaultColWidth="9" defaultRowHeight="13.5" outlineLevelCol="7"/>
  <cols>
    <col min="1" max="1" width="9" style="1" customWidth="1"/>
    <col min="2" max="2" width="23" style="1" customWidth="1"/>
    <col min="3" max="3" width="25.375" style="1" customWidth="1"/>
    <col min="4" max="4" width="9" style="1" customWidth="1"/>
    <col min="5" max="5" width="16.5" style="1" customWidth="1"/>
    <col min="6" max="6" width="16.125" style="1" customWidth="1"/>
    <col min="7" max="7" width="17.625" style="1" customWidth="1"/>
    <col min="8" max="8" width="13.2583333333333" style="1" customWidth="1"/>
  </cols>
  <sheetData>
    <row r="1" ht="30" customHeight="1" spans="1:8">
      <c r="A1" s="2" t="s">
        <v>94</v>
      </c>
    </row>
    <row r="2" ht="24" customHeight="1" spans="1:8">
      <c r="A2" s="3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ht="14.25" customHeight="1" spans="1:8">
      <c r="A3" s="5"/>
      <c r="B3" s="6" t="s">
        <v>55</v>
      </c>
      <c r="C3" s="6" t="s">
        <v>56</v>
      </c>
      <c r="D3" s="7">
        <v>60</v>
      </c>
      <c r="E3" s="8">
        <v>65</v>
      </c>
      <c r="F3" s="7">
        <f>E3*D3/100</f>
        <v>39</v>
      </c>
      <c r="G3" s="9" t="s">
        <v>57</v>
      </c>
      <c r="H3" s="10" t="s">
        <v>58</v>
      </c>
    </row>
    <row r="4" ht="14.25" customHeight="1" spans="1:8">
      <c r="A4" s="11"/>
      <c r="B4" s="12" t="s">
        <v>59</v>
      </c>
      <c r="C4" s="12" t="s">
        <v>60</v>
      </c>
      <c r="D4" s="13"/>
      <c r="E4" s="14">
        <v>35</v>
      </c>
      <c r="F4" s="9">
        <f>E4*D3/100</f>
        <v>21</v>
      </c>
      <c r="G4" s="13"/>
      <c r="H4" s="15" t="s">
        <v>61</v>
      </c>
    </row>
    <row r="5" spans="1:8">
      <c r="A5" s="11"/>
      <c r="B5" s="16" t="s">
        <v>55</v>
      </c>
      <c r="C5" s="16" t="s">
        <v>56</v>
      </c>
      <c r="D5" s="9">
        <v>17.736</v>
      </c>
      <c r="E5" s="14">
        <v>100</v>
      </c>
      <c r="F5" s="9">
        <v>17.736</v>
      </c>
      <c r="G5" s="17" t="s">
        <v>62</v>
      </c>
      <c r="H5" s="10" t="s">
        <v>58</v>
      </c>
    </row>
    <row r="6" spans="1:8">
      <c r="A6" s="11"/>
      <c r="B6" s="18" t="s">
        <v>63</v>
      </c>
      <c r="C6" s="18" t="s">
        <v>64</v>
      </c>
      <c r="D6" s="19">
        <v>8</v>
      </c>
      <c r="E6" s="20">
        <v>100</v>
      </c>
      <c r="F6" s="19">
        <v>8</v>
      </c>
      <c r="G6" s="10" t="s">
        <v>62</v>
      </c>
      <c r="H6" s="14" t="s">
        <v>65</v>
      </c>
    </row>
    <row r="7" spans="1:8">
      <c r="A7" s="11"/>
      <c r="B7" s="10" t="s">
        <v>66</v>
      </c>
      <c r="C7" s="10" t="s">
        <v>67</v>
      </c>
      <c r="D7" s="10">
        <v>5</v>
      </c>
      <c r="E7" s="20">
        <v>100</v>
      </c>
      <c r="F7" s="10">
        <v>5</v>
      </c>
      <c r="G7" s="10" t="s">
        <v>68</v>
      </c>
      <c r="H7" s="14" t="s">
        <v>69</v>
      </c>
    </row>
    <row r="8" ht="24" customHeight="1" spans="1:8">
      <c r="A8" s="11"/>
      <c r="B8" s="18" t="s">
        <v>70</v>
      </c>
      <c r="C8" s="18" t="s">
        <v>71</v>
      </c>
      <c r="D8" s="19">
        <v>3.5</v>
      </c>
      <c r="E8" s="20">
        <v>100</v>
      </c>
      <c r="F8" s="19">
        <v>3.5</v>
      </c>
      <c r="G8" s="10" t="s">
        <v>72</v>
      </c>
      <c r="H8" s="10" t="s">
        <v>73</v>
      </c>
    </row>
    <row r="9" spans="1:8">
      <c r="A9" s="11"/>
      <c r="B9" s="21" t="s">
        <v>77</v>
      </c>
      <c r="C9" s="21" t="s">
        <v>77</v>
      </c>
      <c r="D9" s="22">
        <v>2.136</v>
      </c>
      <c r="E9" s="23">
        <v>100</v>
      </c>
      <c r="F9" s="22">
        <v>2.136</v>
      </c>
      <c r="G9" s="24" t="s">
        <v>75</v>
      </c>
      <c r="H9" s="19" t="s">
        <v>78</v>
      </c>
    </row>
    <row r="10" spans="1:8">
      <c r="A10" s="11"/>
      <c r="B10" s="18" t="s">
        <v>79</v>
      </c>
      <c r="C10" s="18" t="s">
        <v>80</v>
      </c>
      <c r="D10" s="10">
        <v>2</v>
      </c>
      <c r="E10" s="10">
        <v>99.9975</v>
      </c>
      <c r="F10" s="10">
        <f>E10*D10/100</f>
        <v>1.99995</v>
      </c>
      <c r="G10" s="10" t="s">
        <v>81</v>
      </c>
      <c r="H10" s="10" t="s">
        <v>82</v>
      </c>
    </row>
    <row r="11" spans="1:8">
      <c r="A11" s="11"/>
      <c r="B11" s="18" t="s">
        <v>83</v>
      </c>
      <c r="C11" s="18" t="s">
        <v>84</v>
      </c>
      <c r="D11" s="13"/>
      <c r="E11" s="10">
        <v>0.0025</v>
      </c>
      <c r="F11" s="10">
        <f>E11*D10/100</f>
        <v>5e-5</v>
      </c>
      <c r="G11" s="13"/>
      <c r="H11" s="10" t="s">
        <v>85</v>
      </c>
    </row>
    <row r="12" spans="1:8">
      <c r="A12" s="11"/>
      <c r="B12" s="18" t="s">
        <v>74</v>
      </c>
      <c r="C12" s="18" t="s">
        <v>74</v>
      </c>
      <c r="D12" s="10">
        <v>0.966</v>
      </c>
      <c r="E12" s="20">
        <v>100</v>
      </c>
      <c r="F12" s="10">
        <v>0.966</v>
      </c>
      <c r="G12" s="10" t="s">
        <v>75</v>
      </c>
      <c r="H12" s="10" t="s">
        <v>76</v>
      </c>
    </row>
    <row r="13" spans="1:8">
      <c r="A13" s="11"/>
      <c r="B13" s="18" t="s">
        <v>86</v>
      </c>
      <c r="C13" s="18" t="s">
        <v>86</v>
      </c>
      <c r="D13" s="10">
        <v>0.426</v>
      </c>
      <c r="E13" s="20">
        <v>100</v>
      </c>
      <c r="F13" s="10">
        <v>0.426</v>
      </c>
      <c r="G13" s="10" t="s">
        <v>75</v>
      </c>
      <c r="H13" s="10" t="s">
        <v>87</v>
      </c>
    </row>
    <row r="14" spans="1:8">
      <c r="A14" s="11"/>
      <c r="B14" s="18" t="s">
        <v>88</v>
      </c>
      <c r="C14" s="18" t="s">
        <v>88</v>
      </c>
      <c r="D14" s="10">
        <v>0.236</v>
      </c>
      <c r="E14" s="20">
        <v>100</v>
      </c>
      <c r="F14" s="10">
        <v>0.236</v>
      </c>
      <c r="G14" s="10" t="s">
        <v>75</v>
      </c>
      <c r="H14" s="10" t="s">
        <v>89</v>
      </c>
    </row>
  </sheetData>
  <mergeCells count="5">
    <mergeCell ref="A1:H1"/>
    <mergeCell ref="D3:D4"/>
    <mergeCell ref="D10:D11"/>
    <mergeCell ref="G3:G4"/>
    <mergeCell ref="G10:G1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E27" sqref="E27"/>
    </sheetView>
  </sheetViews>
  <sheetFormatPr defaultColWidth="9" defaultRowHeight="13.5" outlineLevelCol="7"/>
  <cols>
    <col min="1" max="1" width="9" style="1" customWidth="1"/>
    <col min="2" max="2" width="23" style="1" customWidth="1"/>
    <col min="3" max="3" width="25.375" style="1" customWidth="1"/>
    <col min="4" max="4" width="9" style="1" customWidth="1"/>
    <col min="5" max="5" width="16.5" style="1" customWidth="1"/>
    <col min="6" max="6" width="16.125" style="1" customWidth="1"/>
    <col min="7" max="7" width="17.625" style="1" customWidth="1"/>
    <col min="8" max="8" width="13.2583333333333" style="1" customWidth="1"/>
  </cols>
  <sheetData>
    <row r="1" ht="30" customHeight="1" spans="1:8">
      <c r="A1" s="2" t="s">
        <v>95</v>
      </c>
    </row>
    <row r="2" ht="24" customHeight="1" spans="1:8">
      <c r="A2" s="3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ht="14.25" customHeight="1" spans="1:8">
      <c r="A3" s="5"/>
      <c r="B3" s="6" t="s">
        <v>55</v>
      </c>
      <c r="C3" s="6" t="s">
        <v>56</v>
      </c>
      <c r="D3" s="7">
        <v>60</v>
      </c>
      <c r="E3" s="8">
        <v>65</v>
      </c>
      <c r="F3" s="7">
        <f>E3*D3/100</f>
        <v>39</v>
      </c>
      <c r="G3" s="9" t="s">
        <v>57</v>
      </c>
      <c r="H3" s="10" t="s">
        <v>58</v>
      </c>
    </row>
    <row r="4" ht="14.25" customHeight="1" spans="1:8">
      <c r="A4" s="11"/>
      <c r="B4" s="12" t="s">
        <v>59</v>
      </c>
      <c r="C4" s="12" t="s">
        <v>60</v>
      </c>
      <c r="D4" s="13"/>
      <c r="E4" s="14">
        <v>35</v>
      </c>
      <c r="F4" s="9">
        <f>E4*D3/100</f>
        <v>21</v>
      </c>
      <c r="G4" s="13"/>
      <c r="H4" s="15" t="s">
        <v>61</v>
      </c>
    </row>
    <row r="5" spans="1:8">
      <c r="A5" s="11"/>
      <c r="B5" s="16" t="s">
        <v>55</v>
      </c>
      <c r="C5" s="16" t="s">
        <v>56</v>
      </c>
      <c r="D5" s="9">
        <v>17.058</v>
      </c>
      <c r="E5" s="14">
        <v>100</v>
      </c>
      <c r="F5" s="9">
        <v>17.058</v>
      </c>
      <c r="G5" s="17" t="s">
        <v>62</v>
      </c>
      <c r="H5" s="10" t="s">
        <v>58</v>
      </c>
    </row>
    <row r="6" spans="1:8">
      <c r="A6" s="11"/>
      <c r="B6" s="18" t="s">
        <v>63</v>
      </c>
      <c r="C6" s="18" t="s">
        <v>64</v>
      </c>
      <c r="D6" s="19">
        <v>8</v>
      </c>
      <c r="E6" s="20">
        <v>100</v>
      </c>
      <c r="F6" s="19">
        <v>8</v>
      </c>
      <c r="G6" s="10" t="s">
        <v>62</v>
      </c>
      <c r="H6" s="14" t="s">
        <v>65</v>
      </c>
    </row>
    <row r="7" spans="1:8">
      <c r="A7" s="11"/>
      <c r="B7" s="10" t="s">
        <v>66</v>
      </c>
      <c r="C7" s="10" t="s">
        <v>67</v>
      </c>
      <c r="D7" s="10">
        <v>5</v>
      </c>
      <c r="E7" s="20">
        <v>100</v>
      </c>
      <c r="F7" s="10">
        <v>5</v>
      </c>
      <c r="G7" s="10" t="s">
        <v>68</v>
      </c>
      <c r="H7" s="14" t="s">
        <v>69</v>
      </c>
    </row>
    <row r="8" ht="24" customHeight="1" spans="1:8">
      <c r="A8" s="11"/>
      <c r="B8" s="18" t="s">
        <v>70</v>
      </c>
      <c r="C8" s="18" t="s">
        <v>71</v>
      </c>
      <c r="D8" s="19">
        <v>3.5</v>
      </c>
      <c r="E8" s="20">
        <v>100</v>
      </c>
      <c r="F8" s="19">
        <v>3.5</v>
      </c>
      <c r="G8" s="10" t="s">
        <v>72</v>
      </c>
      <c r="H8" s="10" t="s">
        <v>73</v>
      </c>
    </row>
    <row r="9" spans="1:8">
      <c r="A9" s="11"/>
      <c r="B9" s="18" t="s">
        <v>79</v>
      </c>
      <c r="C9" s="18" t="s">
        <v>80</v>
      </c>
      <c r="D9" s="10">
        <v>2</v>
      </c>
      <c r="E9" s="10">
        <v>99.9975</v>
      </c>
      <c r="F9" s="10">
        <f>E9*D9/100</f>
        <v>1.99995</v>
      </c>
      <c r="G9" s="10" t="s">
        <v>81</v>
      </c>
      <c r="H9" s="10" t="s">
        <v>82</v>
      </c>
    </row>
    <row r="10" spans="1:8">
      <c r="A10" s="11"/>
      <c r="B10" s="18" t="s">
        <v>83</v>
      </c>
      <c r="C10" s="18" t="s">
        <v>84</v>
      </c>
      <c r="D10" s="13"/>
      <c r="E10" s="10">
        <v>0.0025</v>
      </c>
      <c r="F10" s="10">
        <f>E10*D9/100</f>
        <v>5e-5</v>
      </c>
      <c r="G10" s="13"/>
      <c r="H10" s="10" t="s">
        <v>85</v>
      </c>
    </row>
    <row r="11" spans="1:8">
      <c r="A11" s="11"/>
      <c r="B11" s="21" t="s">
        <v>77</v>
      </c>
      <c r="C11" s="21" t="s">
        <v>77</v>
      </c>
      <c r="D11" s="22">
        <v>1.308</v>
      </c>
      <c r="E11" s="23">
        <v>100</v>
      </c>
      <c r="F11" s="22">
        <v>1.308</v>
      </c>
      <c r="G11" s="24" t="s">
        <v>75</v>
      </c>
      <c r="H11" s="19" t="s">
        <v>78</v>
      </c>
    </row>
    <row r="12" spans="1:8">
      <c r="A12" s="11"/>
      <c r="B12" s="18" t="s">
        <v>88</v>
      </c>
      <c r="C12" s="18" t="s">
        <v>88</v>
      </c>
      <c r="D12" s="10">
        <v>1.24</v>
      </c>
      <c r="E12" s="20">
        <v>100</v>
      </c>
      <c r="F12" s="10">
        <v>1.24</v>
      </c>
      <c r="G12" s="10" t="s">
        <v>75</v>
      </c>
      <c r="H12" s="10" t="s">
        <v>89</v>
      </c>
    </row>
    <row r="13" spans="1:8">
      <c r="A13" s="11"/>
      <c r="B13" s="18" t="s">
        <v>74</v>
      </c>
      <c r="C13" s="18" t="s">
        <v>74</v>
      </c>
      <c r="D13" s="10">
        <v>1.168</v>
      </c>
      <c r="E13" s="20">
        <v>100</v>
      </c>
      <c r="F13" s="10">
        <v>1.168</v>
      </c>
      <c r="G13" s="10" t="s">
        <v>75</v>
      </c>
      <c r="H13" s="10" t="s">
        <v>76</v>
      </c>
    </row>
    <row r="14" spans="1:8">
      <c r="A14" s="11"/>
      <c r="B14" s="18" t="s">
        <v>86</v>
      </c>
      <c r="C14" s="18" t="s">
        <v>86</v>
      </c>
      <c r="D14" s="10">
        <v>0.726</v>
      </c>
      <c r="E14" s="20">
        <v>100</v>
      </c>
      <c r="F14" s="10">
        <v>0.726</v>
      </c>
      <c r="G14" s="10" t="s">
        <v>75</v>
      </c>
      <c r="H14" s="10" t="s">
        <v>87</v>
      </c>
    </row>
  </sheetData>
  <mergeCells count="5">
    <mergeCell ref="A1:H1"/>
    <mergeCell ref="D3:D4"/>
    <mergeCell ref="D9:D10"/>
    <mergeCell ref="G3:G4"/>
    <mergeCell ref="G9:G1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A1" sqref="A1:H1"/>
    </sheetView>
  </sheetViews>
  <sheetFormatPr defaultColWidth="9" defaultRowHeight="13.5" outlineLevelCol="7"/>
  <cols>
    <col min="1" max="1" width="9" style="1" customWidth="1"/>
    <col min="2" max="2" width="23" style="1" customWidth="1"/>
    <col min="3" max="3" width="25.375" style="1" customWidth="1"/>
    <col min="4" max="4" width="9" style="1" customWidth="1"/>
    <col min="5" max="5" width="16.5" style="1" customWidth="1"/>
    <col min="6" max="6" width="16.125" style="1" customWidth="1"/>
    <col min="7" max="7" width="17.625" style="1" customWidth="1"/>
    <col min="8" max="8" width="13.2583333333333" style="1" customWidth="1"/>
  </cols>
  <sheetData>
    <row r="1" ht="30" customHeight="1" spans="1:8">
      <c r="A1" s="2" t="s">
        <v>96</v>
      </c>
    </row>
    <row r="2" ht="24" customHeight="1" spans="1:8">
      <c r="A2" s="3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ht="14.25" customHeight="1" spans="1:8">
      <c r="A3" s="5"/>
      <c r="B3" s="6" t="s">
        <v>55</v>
      </c>
      <c r="C3" s="6" t="s">
        <v>56</v>
      </c>
      <c r="D3" s="7">
        <v>60</v>
      </c>
      <c r="E3" s="8">
        <v>65</v>
      </c>
      <c r="F3" s="7">
        <f>E3*D3/100</f>
        <v>39</v>
      </c>
      <c r="G3" s="9" t="s">
        <v>57</v>
      </c>
      <c r="H3" s="10" t="s">
        <v>58</v>
      </c>
    </row>
    <row r="4" ht="14.25" customHeight="1" spans="1:8">
      <c r="A4" s="11"/>
      <c r="B4" s="12" t="s">
        <v>59</v>
      </c>
      <c r="C4" s="12" t="s">
        <v>60</v>
      </c>
      <c r="D4" s="13"/>
      <c r="E4" s="14">
        <v>35</v>
      </c>
      <c r="F4" s="9">
        <f>E4*D3/100</f>
        <v>21</v>
      </c>
      <c r="G4" s="13"/>
      <c r="H4" s="15" t="s">
        <v>61</v>
      </c>
    </row>
    <row r="5" spans="1:8">
      <c r="A5" s="11"/>
      <c r="B5" s="16" t="s">
        <v>55</v>
      </c>
      <c r="C5" s="16" t="s">
        <v>56</v>
      </c>
      <c r="D5" s="9">
        <v>13.362</v>
      </c>
      <c r="E5" s="14">
        <v>100</v>
      </c>
      <c r="F5" s="9">
        <v>13.362</v>
      </c>
      <c r="G5" s="17" t="s">
        <v>62</v>
      </c>
      <c r="H5" s="10" t="s">
        <v>58</v>
      </c>
    </row>
    <row r="6" spans="1:8">
      <c r="A6" s="11"/>
      <c r="B6" s="18" t="s">
        <v>63</v>
      </c>
      <c r="C6" s="18" t="s">
        <v>64</v>
      </c>
      <c r="D6" s="19">
        <v>8</v>
      </c>
      <c r="E6" s="20">
        <v>100</v>
      </c>
      <c r="F6" s="19">
        <v>8</v>
      </c>
      <c r="G6" s="10" t="s">
        <v>62</v>
      </c>
      <c r="H6" s="14" t="s">
        <v>65</v>
      </c>
    </row>
    <row r="7" spans="1:8">
      <c r="A7" s="11"/>
      <c r="B7" s="10" t="s">
        <v>66</v>
      </c>
      <c r="C7" s="10" t="s">
        <v>67</v>
      </c>
      <c r="D7" s="10">
        <v>5</v>
      </c>
      <c r="E7" s="20">
        <v>100</v>
      </c>
      <c r="F7" s="10">
        <v>5</v>
      </c>
      <c r="G7" s="10" t="s">
        <v>68</v>
      </c>
      <c r="H7" s="14" t="s">
        <v>69</v>
      </c>
    </row>
    <row r="8" ht="24" customHeight="1" spans="1:8">
      <c r="A8" s="11"/>
      <c r="B8" s="18" t="s">
        <v>70</v>
      </c>
      <c r="C8" s="18" t="s">
        <v>71</v>
      </c>
      <c r="D8" s="19">
        <v>3.5</v>
      </c>
      <c r="E8" s="20">
        <v>100</v>
      </c>
      <c r="F8" s="19">
        <v>3.5</v>
      </c>
      <c r="G8" s="10" t="s">
        <v>72</v>
      </c>
      <c r="H8" s="10" t="s">
        <v>73</v>
      </c>
    </row>
    <row r="9" spans="1:8">
      <c r="A9" s="11"/>
      <c r="B9" s="21" t="s">
        <v>77</v>
      </c>
      <c r="C9" s="21" t="s">
        <v>77</v>
      </c>
      <c r="D9" s="22">
        <v>2.894</v>
      </c>
      <c r="E9" s="23">
        <v>100</v>
      </c>
      <c r="F9" s="22">
        <v>2.894</v>
      </c>
      <c r="G9" s="24" t="s">
        <v>75</v>
      </c>
      <c r="H9" s="19" t="s">
        <v>78</v>
      </c>
    </row>
    <row r="10" spans="1:8">
      <c r="A10" s="11"/>
      <c r="B10" s="18" t="s">
        <v>88</v>
      </c>
      <c r="C10" s="18" t="s">
        <v>88</v>
      </c>
      <c r="D10" s="10">
        <v>2.808</v>
      </c>
      <c r="E10" s="20">
        <v>100</v>
      </c>
      <c r="F10" s="10">
        <v>2.808</v>
      </c>
      <c r="G10" s="10" t="s">
        <v>75</v>
      </c>
      <c r="H10" s="10" t="s">
        <v>89</v>
      </c>
    </row>
    <row r="11" spans="1:8">
      <c r="A11" s="11"/>
      <c r="B11" s="18" t="s">
        <v>79</v>
      </c>
      <c r="C11" s="18" t="s">
        <v>80</v>
      </c>
      <c r="D11" s="10">
        <v>2</v>
      </c>
      <c r="E11" s="10">
        <v>99.9975</v>
      </c>
      <c r="F11" s="10">
        <f>E11*D11/100</f>
        <v>1.99995</v>
      </c>
      <c r="G11" s="10" t="s">
        <v>81</v>
      </c>
      <c r="H11" s="10" t="s">
        <v>82</v>
      </c>
    </row>
    <row r="12" spans="1:8">
      <c r="A12" s="11"/>
      <c r="B12" s="18" t="s">
        <v>83</v>
      </c>
      <c r="C12" s="18" t="s">
        <v>84</v>
      </c>
      <c r="D12" s="13"/>
      <c r="E12" s="10">
        <v>0.0025</v>
      </c>
      <c r="F12" s="10">
        <f>E12*D11/100</f>
        <v>5e-5</v>
      </c>
      <c r="G12" s="13"/>
      <c r="H12" s="10" t="s">
        <v>85</v>
      </c>
    </row>
    <row r="13" spans="1:8">
      <c r="A13" s="11"/>
      <c r="B13" s="18" t="s">
        <v>74</v>
      </c>
      <c r="C13" s="18" t="s">
        <v>74</v>
      </c>
      <c r="D13" s="10">
        <v>1.656</v>
      </c>
      <c r="E13" s="20">
        <v>100</v>
      </c>
      <c r="F13" s="10">
        <v>1.656</v>
      </c>
      <c r="G13" s="10" t="s">
        <v>75</v>
      </c>
      <c r="H13" s="10" t="s">
        <v>76</v>
      </c>
    </row>
    <row r="14" spans="1:8">
      <c r="A14" s="11"/>
      <c r="B14" s="18" t="s">
        <v>86</v>
      </c>
      <c r="C14" s="18" t="s">
        <v>86</v>
      </c>
      <c r="D14" s="10">
        <v>0.78</v>
      </c>
      <c r="E14" s="20">
        <v>100</v>
      </c>
      <c r="F14" s="10">
        <v>0.78</v>
      </c>
      <c r="G14" s="10" t="s">
        <v>75</v>
      </c>
      <c r="H14" s="10" t="s">
        <v>87</v>
      </c>
    </row>
  </sheetData>
  <mergeCells count="5">
    <mergeCell ref="A1:H1"/>
    <mergeCell ref="D3:D4"/>
    <mergeCell ref="D11:D12"/>
    <mergeCell ref="G3:G4"/>
    <mergeCell ref="G11:G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MSDS基本资料</vt:lpstr>
      <vt:lpstr>第一款成分</vt:lpstr>
      <vt:lpstr>第二款成分</vt:lpstr>
      <vt:lpstr>第三款成分</vt:lpstr>
      <vt:lpstr>第四款成分</vt:lpstr>
      <vt:lpstr>第五款成分</vt:lpstr>
      <vt:lpstr>第六款成分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ybj</dc:creator>
  <cp:lastModifiedBy>赖国勇</cp:lastModifiedBy>
  <dcterms:created xsi:type="dcterms:W3CDTF">2022-10-08T09:42:00Z</dcterms:created>
  <dcterms:modified xsi:type="dcterms:W3CDTF">2026-05-18T04:45:18Z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FE3C120E3A9547E6B9169C3E60E5856D_13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